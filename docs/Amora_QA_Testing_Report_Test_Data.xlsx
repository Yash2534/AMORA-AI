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d54bbc817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3871ede9ae48bc"/>
    <x:sheet xmlns:r="http://schemas.openxmlformats.org/officeDocument/2006/relationships" name="Test Cases" sheetId="2" r:id="R84f06204631a4059"/>
    <x:sheet xmlns:r="http://schemas.openxmlformats.org/officeDocument/2006/relationships" name="RTM" sheetId="3" r:id="Rf8032e7fe2fb4f95"/>
    <x:sheet xmlns:r="http://schemas.openxmlformats.org/officeDocument/2006/relationships" name="Defects" sheetId="4" r:id="R45fa2bbb99d6440a"/>
    <x:sheet xmlns:r="http://schemas.openxmlformats.org/officeDocument/2006/relationships" name="Risks" sheetId="5" r:id="Rfc71d403a1f2457d"/>
    <x:sheet xmlns:r="http://schemas.openxmlformats.org/officeDocument/2006/relationships" name="Module Summary" sheetId="6" r:id="R391a418f26c74a4f"/>
    <x:sheet xmlns:r="http://schemas.openxmlformats.org/officeDocument/2006/relationships" name="Environment" sheetId="7" r:id="R1aaeea5e59d44a21"/>
    <x:sheet xmlns:r="http://schemas.openxmlformats.org/officeDocument/2006/relationships" name="Build Results" sheetId="8" r:id="R4886a172af3e4469"/>
    <x:sheet xmlns:r="http://schemas.openxmlformats.org/officeDocument/2006/relationships" name="Safe Test Data" sheetId="9" r:id="Rab0b648353734f52"/>
    <x:sheet xmlns:r="http://schemas.openxmlformats.org/officeDocument/2006/relationships" name="Evidence Index" sheetId="10" r:id="Rb8b7123bb5b4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B2B2B"/>
      <x:name val="Carlito"/>
    </x:font>
    <x:font>
      <x:i/>
      <x:sz val="11"/>
      <x:color rgb="FF2B2B2B"/>
      <x:name val="Carlito"/>
    </x:font>
    <x:font>
      <x:b/>
      <x:sz val="11"/>
      <x:color rgb="FF3D0B3F"/>
      <x:name val="Carlito"/>
    </x:font>
    <x:font>
      <x:b/>
      <x:sz val="11"/>
      <x:color rgb="FF2B2B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D0B3F"/>
      </x:patternFill>
    </x:fill>
    <x:fill>
      <x:patternFill patternType="solid">
        <x:fgColor rgb="FFFDF1F7"/>
      </x:patternFill>
    </x:fill>
    <x:fill>
      <x:patternFill patternType="solid">
        <x:fgColor rgb="FFF4A9CE"/>
      </x:patternFill>
    </x:fill>
    <x:fill>
      <x:patternFill patternType="solid">
        <x:fgColor rgb="FFFFFFFF"/>
      </x:patternFill>
    </x:fill>
  </x:fills>
  <x:borders count="11">
    <x:border/>
    <x:border>
      <x:bottom style="medium">
        <x:color rgb="FFEC5FA8"/>
      </x:bottom>
    </x:border>
    <x:border>
      <x:bottom style="thin">
        <x:color rgb="FFF4A9CE"/>
      </x:bottom>
    </x:border>
    <x:border>
      <x:top style="thin">
        <x:color rgb="FFF4A9CE"/>
      </x:top>
      <x:bottom style="thin">
        <x:color rgb="FFF4A9CE"/>
      </x:bottom>
    </x:border>
    <x:border>
      <x:left style="thin">
        <x:color rgb="FFF4A9CE"/>
      </x:left>
      <x:top style="thin">
        <x:color rgb="FFF4A9CE"/>
      </x:top>
    </x:border>
    <x:border>
      <x:top style="thin">
        <x:color rgb="FFF4A9CE"/>
      </x:top>
    </x:border>
    <x:border>
      <x:right style="thin">
        <x:color rgb="FFF4A9CE"/>
      </x:right>
      <x:top style="thin">
        <x:color rgb="FFF4A9CE"/>
      </x:top>
    </x:border>
    <x:border>
      <x:left style="thin">
        <x:color rgb="FFF4A9CE"/>
      </x:left>
    </x:border>
    <x:border>
      <x:right style="thin">
        <x:color rgb="FFF4A9CE"/>
      </x:right>
    </x:border>
    <x:border>
      <x:left style="thin">
        <x:color rgb="FFF4A9CE"/>
      </x:left>
      <x:bottom style="thin">
        <x:color rgb="FFF4A9CE"/>
      </x:bottom>
    </x:border>
    <x:border>
      <x:right style="thin">
        <x:color rgb="FFF4A9CE"/>
      </x:right>
      <x:bottom style="thin">
        <x:color rgb="FFF4A9CE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/>
    <x:xf numFmtId="0" fontId="4" fillId="5" borderId="10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3D0B3F"/>
      </x:font>
      <x:fill>
        <x:patternFill patternType="solid">
          <x:bgColor rgb="FFFDF1F7"/>
        </x:patternFill>
      </x:fill>
    </x:dxf>
    <x:dxf>
      <x:font>
        <x:b/>
        <x:color rgb="FFFFFFFF"/>
      </x:font>
      <x:fill>
        <x:patternFill patternType="solid">
          <x:bgColor rgb="FFEC5FA8"/>
        </x:patternFill>
      </x:fill>
    </x:dxf>
    <x:dxf>
      <x:font>
        <x:b/>
        <x:color rgb="FF3D0B3F"/>
      </x:font>
      <x:fill>
        <x:patternFill patternType="solid">
          <x:bgColor rgb="FFF4A9CE"/>
        </x:patternFill>
      </x:fill>
    </x:dxf>
    <x:dxf>
      <x:font>
        <x:b/>
        <x:color rgb="FF2B2B2B"/>
      </x:font>
      <x:fill>
        <x:patternFill patternType="solid">
          <x:bgColor rgb="FFFFFFFF"/>
        </x:patternFill>
      </x:fill>
    </x:dxf>
    <x:dxf>
      <x:font>
        <x:b/>
        <x:color rgb="FF2B2B2B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b904bcf7848e5" /><Relationship Type="http://schemas.openxmlformats.org/officeDocument/2006/relationships/theme" Target="/xl/theme/theme1.xml" Id="R6a39f6cd970748c4" /><Relationship Type="http://schemas.openxmlformats.org/officeDocument/2006/relationships/sharedStrings" Target="/xl/sharedStrings.xml" Id="R3dce047ea1434af8" /><Relationship Type="http://schemas.openxmlformats.org/officeDocument/2006/relationships/worksheet" Target="/xl/worksheets/sheet1.xml" Id="Rd43871ede9ae48bc" /><Relationship Type="http://schemas.openxmlformats.org/officeDocument/2006/relationships/worksheet" Target="/xl/worksheets/sheet2.xml" Id="R84f06204631a4059" /><Relationship Type="http://schemas.openxmlformats.org/officeDocument/2006/relationships/worksheet" Target="/xl/worksheets/sheet3.xml" Id="Rf8032e7fe2fb4f95" /><Relationship Type="http://schemas.openxmlformats.org/officeDocument/2006/relationships/worksheet" Target="/xl/worksheets/sheet4.xml" Id="R45fa2bbb99d6440a" /><Relationship Type="http://schemas.openxmlformats.org/officeDocument/2006/relationships/worksheet" Target="/xl/worksheets/sheet5.xml" Id="Rfc71d403a1f2457d" /><Relationship Type="http://schemas.openxmlformats.org/officeDocument/2006/relationships/worksheet" Target="/xl/worksheets/sheet6.xml" Id="R391a418f26c74a4f" /><Relationship Type="http://schemas.openxmlformats.org/officeDocument/2006/relationships/worksheet" Target="/xl/worksheets/sheet7.xml" Id="R1aaeea5e59d44a21" /><Relationship Type="http://schemas.openxmlformats.org/officeDocument/2006/relationships/worksheet" Target="/xl/worksheets/sheet8.xml" Id="R4886a172af3e4469" /><Relationship Type="http://schemas.openxmlformats.org/officeDocument/2006/relationships/worksheet" Target="/xl/worksheets/sheet9.xml" Id="Rab0b648353734f52" /><Relationship Type="http://schemas.openxmlformats.org/officeDocument/2006/relationships/worksheet" Target="/xl/worksheets/sheet10.xml" Id="Rb8b7123bb5b44b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9e29da2bf44f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Catalogue status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EC5FA8"/>
            </a:solidFill>
          </c:spPr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9e29da2bf44f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610e12207940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13" t="str">
        <x:v>AMORA QA TESTING SCORECARD</x:v>
      </x:c>
      <x:c r="B1" s="13" t="str">
        <x:v>AMORA QA TESTING SCORECARD</x:v>
      </x:c>
      <x:c r="C1" s="13" t="str">
        <x:v>AMORA QA TESTING SCORECARD</x:v>
      </x:c>
      <x:c r="D1" s="13" t="str">
        <x:v>AMORA QA TESTING SCORECARD</x:v>
      </x:c>
      <x:c r="E1" s="13" t="str">
        <x:v>AMORA QA TESTING SCORECARD</x:v>
      </x:c>
      <x:c r="F1" s="13" t="str">
        <x:v>AMORA QA TESTING SCORECARD</x:v>
      </x:c>
      <x:c r="G1" s="13" t="str">
        <x:v>AMORA QA TESTING SCORECARD</x:v>
      </x:c>
      <x:c r="H1" s="13" t="str">
        <x:v>AMORA QA TESTING SCORECARD</x:v>
      </x:c>
      <x:c r="I1" s="13" t="str">
        <x:v>AMORA QA TESTING SCORECARD</x:v>
      </x:c>
      <x:c r="J1" s="13" t="str">
        <x:v>AMORA QA TESTING SCORECARD</x:v>
      </x:c>
      <x:c r="K1" s="13" t="str">
        <x:v>AMORA QA TESTING SCORECARD</x:v>
      </x:c>
      <x:c r="L1" s="13" t="str">
        <x:v>AMORA QA TESTING SCORECARD</x:v>
      </x:c>
      <x:c r="M1" s="13" t="str">
        <x:v>AMORA QA TESTING SCORECARD</x:v>
      </x:c>
      <x:c r="N1" s="13" t="str">
        <x:v>AMORA QA TESTING SCORECARD</x:v>
      </x:c>
    </x:row>
    <x:row r="2" ht="24" customHeight="1">
      <x:c r="A2" s="16" t="str">
        <x:v>Submission-ready QA status derived from the editable Test Cases sheet</x:v>
      </x:c>
      <x:c r="B2" s="16" t="str">
        <x:v>Submission-ready QA status derived from the editable Test Cases sheet</x:v>
      </x:c>
      <x:c r="C2" s="16" t="str">
        <x:v>Submission-ready QA status derived from the editable Test Cases sheet</x:v>
      </x:c>
      <x:c r="D2" s="16" t="str">
        <x:v>Submission-ready QA status derived from the editable Test Cases sheet</x:v>
      </x:c>
      <x:c r="E2" s="16" t="str">
        <x:v>Submission-ready QA status derived from the editable Test Cases sheet</x:v>
      </x:c>
      <x:c r="F2" s="16" t="str">
        <x:v>Submission-ready QA status derived from the editable Test Cases sheet</x:v>
      </x:c>
      <x:c r="G2" s="16" t="str">
        <x:v>Submission-ready QA status derived from the editable Test Cases sheet</x:v>
      </x:c>
      <x:c r="H2" s="16" t="str">
        <x:v>Submission-ready QA status derived from the editable Test Cases sheet</x:v>
      </x:c>
      <x:c r="I2" s="16" t="str">
        <x:v>Submission-ready QA status derived from the editable Test Cases sheet</x:v>
      </x:c>
      <x:c r="J2" s="16" t="str">
        <x:v>Submission-ready QA status derived from the editable Test Cases sheet</x:v>
      </x:c>
      <x:c r="K2" s="16" t="str">
        <x:v>Submission-ready QA status derived from the editable Test Cases sheet</x:v>
      </x:c>
      <x:c r="L2" s="16" t="str">
        <x:v>Submission-ready QA status derived from the editable Test Cases sheet</x:v>
      </x:c>
      <x:c r="M2" s="16" t="str">
        <x:v>Submission-ready QA status derived from the editable Test Cases sheet</x:v>
      </x:c>
      <x:c r="N2" s="16" t="str">
        <x:v>Submission-ready QA status derived from the editable Test Cases sheet</x:v>
      </x:c>
      <x:c r="O2" s="16" t="str">
        <x:v>Submission-ready QA status derived from the editable Test Cases sheet</x:v>
      </x:c>
    </x:row>
    <x:row r="4">
      <x:c r="A4" s="19" t="str">
        <x:v>Catalogue</x:v>
      </x:c>
      <x:c r="B4" s="19" t="str"/>
      <x:c r="C4" s="19" t="str">
        <x:v>Pass</x:v>
      </x:c>
      <x:c r="D4" s="19" t="str"/>
      <x:c r="E4" s="19" t="str">
        <x:v>Fail</x:v>
      </x:c>
      <x:c r="F4" s="19" t="str"/>
      <x:c r="G4" s="19" t="str">
        <x:v>Blocked</x:v>
      </x:c>
      <x:c r="H4" s="19" t="str"/>
      <x:c r="I4" s="19" t="str">
        <x:v>Not Run</x:v>
      </x:c>
      <x:c r="J4" s="19" t="str"/>
      <x:c r="K4" s="19" t="str">
        <x:v>N/A</x:v>
      </x:c>
      <x:c r="L4" s="19" t="str"/>
      <x:c r="M4" s="19" t="str">
        <x:v>Executed Pass %</x:v>
      </x:c>
      <x:c r="N4" s="19" t="str"/>
    </x:row>
    <x:row r="5">
      <x:c r="A5" s="39" t="n">
        <x:f>COUNTA('Test Cases'!A2:A181)</x:f>
        <x:v>180</x:v>
      </x:c>
      <x:c r="B5" s="40"/>
      <x:c r="C5" s="40" t="n">
        <x:f>COUNTIF('Test Cases'!J2:J181,"Pass")</x:f>
        <x:v>125</x:v>
      </x:c>
      <x:c r="D5" s="40"/>
      <x:c r="E5" s="40" t="n">
        <x:f>COUNTIF('Test Cases'!J2:J181,"Fail")</x:f>
        <x:v>26</x:v>
      </x:c>
      <x:c r="F5" s="40"/>
      <x:c r="G5" s="40" t="n">
        <x:f>COUNTIF('Test Cases'!J2:J181,"Blocked")</x:f>
        <x:v>10</x:v>
      </x:c>
      <x:c r="H5" s="40"/>
      <x:c r="I5" s="40" t="n">
        <x:f>COUNTIF('Test Cases'!J2:J181,"Not Run")</x:f>
        <x:v>16</x:v>
      </x:c>
      <x:c r="J5" s="40"/>
      <x:c r="K5" s="40" t="n">
        <x:f>COUNTIF('Test Cases'!J2:J181,"Not Applicable")</x:f>
        <x:v>3</x:v>
      </x:c>
      <x:c r="L5" s="40"/>
      <x:c r="M5" s="48" t="n">
        <x:f>IFERROR(C5/(C5+E5),0)</x:f>
        <x:v>0.8278145695364238</x:v>
      </x:c>
      <x:c r="N5" s="41"/>
    </x:row>
    <x:row r="6">
      <x:c r="A6" s="42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4"/>
    </x:row>
    <x:row r="7">
      <x:c r="A7" s="45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7"/>
    </x:row>
    <x:row r="9" ht="30" customHeight="1">
      <x:c r="A9" s="6" t="str">
        <x:v>Release decision</x:v>
      </x:c>
      <x:c r="B9" s="6" t="str">
        <x:v>Automated suite</x:v>
      </x:c>
      <x:c r="C9" s="6" t="str">
        <x:v>Analyzer</x:v>
      </x:c>
      <x:c r="D9" s="6" t="str">
        <x:v>Web build</x:v>
      </x:c>
      <x:c r="E9" s="6" t="str">
        <x:v>Debug APK</x:v>
      </x:c>
      <x:c r="F9" s="6" t="str">
        <x:v>Confirmed defects</x:v>
      </x:c>
    </x:row>
    <x:row r="10" ht="40" customHeight="1">
      <x:c r="A10" s="51" t="str">
        <x:v>Not Ready</x:v>
      </x:c>
      <x:c r="B10" s="51" t="str">
        <x:v>115 pass / 23 fail / 5 skipped</x:v>
      </x:c>
      <x:c r="C10" s="51" t="str">
        <x:v>PASS</x:v>
      </x:c>
      <x:c r="D10" s="51" t="str">
        <x:v>PASS</x:v>
      </x:c>
      <x:c r="E10" s="51" t="str">
        <x:v>PASS</x:v>
      </x:c>
      <x:c r="F10" s="51" t="n">
        <x:v>8</x:v>
      </x:c>
    </x:row>
    <x:row r="13" ht="30" customHeight="1">
      <x:c r="A13" s="6" t="str">
        <x:v>Status</x:v>
      </x:c>
      <x:c r="B13" s="6" t="str">
        <x:v>Count</x:v>
      </x:c>
      <x:c r="L13" s="6" t="str">
        <x:v>Metric</x:v>
      </x:c>
      <x:c r="M13" s="6" t="str">
        <x:v>Observed</x:v>
      </x:c>
      <x:c r="N13" s="6" t="str">
        <x:v>Interpretation</x:v>
      </x:c>
    </x:row>
    <x:row r="14">
      <x:c r="A14" s="53" t="str">
        <x:v>Pass</x:v>
      </x:c>
      <x:c r="B14" s="53" t="n">
        <x:f>C5</x:f>
        <x:v>125</x:v>
      </x:c>
      <x:c r="L14" s="57" t="str">
        <x:v>APK size</x:v>
      </x:c>
      <x:c r="M14" s="57" t="str">
        <x:v>164.3 MiB</x:v>
      </x:c>
      <x:c r="N14" s="57" t="str">
        <x:v>Optimization required</x:v>
      </x:c>
    </x:row>
    <x:row r="15">
      <x:c r="A15" s="54" t="str">
        <x:v>Fail</x:v>
      </x:c>
      <x:c r="B15" s="54" t="n">
        <x:f>E5</x:f>
        <x:v>26</x:v>
      </x:c>
      <x:c r="L15" s="58" t="str">
        <x:v>Web output</x:v>
      </x:c>
      <x:c r="M15" s="58" t="str">
        <x:v>64.9 MiB</x:v>
      </x:c>
      <x:c r="N15" s="58" t="str">
        <x:v>Build succeeded</x:v>
      </x:c>
    </x:row>
    <x:row r="16">
      <x:c r="A16" s="54" t="str">
        <x:v>Blocked</x:v>
      </x:c>
      <x:c r="B16" s="54" t="n">
        <x:f>G5</x:f>
        <x:v>10</x:v>
      </x:c>
      <x:c r="L16" s="58" t="str">
        <x:v>Routes</x:v>
      </x:c>
      <x:c r="M16" s="58" t="str">
        <x:v>93 constants</x:v>
      </x:c>
      <x:c r="N16" s="58" t="str">
        <x:v>Large prototype surface</x:v>
      </x:c>
    </x:row>
    <x:row r="17">
      <x:c r="A17" s="54" t="str">
        <x:v>Not Run</x:v>
      </x:c>
      <x:c r="B17" s="54" t="n">
        <x:f>I5</x:f>
        <x:v>16</x:v>
      </x:c>
      <x:c r="L17" s="58" t="str">
        <x:v>Backend SDK</x:v>
      </x:c>
      <x:c r="M17" s="58" t="str">
        <x:v>None</x:v>
      </x:c>
      <x:c r="N17" s="58" t="str">
        <x:v>Production blocker</x:v>
      </x:c>
    </x:row>
    <x:row r="18">
      <x:c r="A18" s="54" t="str">
        <x:v>Not Applicable</x:v>
      </x:c>
      <x:c r="B18" s="54" t="n">
        <x:f>K5</x:f>
        <x:v>3</x:v>
      </x:c>
    </x:row>
    <x:row r="31">
      <x:c r="A31" s="60" t="str">
        <x:v>Decision rationale: analyzer, web compilation and debug APK succeeded, but the complete automated suite fails, production backend/payment/auth integrations are absent, demo OTP behavior is exposed, and Android release identity/signing is not production-ready. Release decision: NOT READY.</x:v>
      </x:c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</x:row>
  </x:sheetData>
  <x:mergeCells>
    <x:mergeCell ref="A1:N1"/>
    <x:mergeCell ref="A2:O2"/>
    <x:mergeCell ref="A5:B7"/>
    <x:mergeCell ref="C5:D7"/>
    <x:mergeCell ref="E5:F7"/>
    <x:mergeCell ref="G5:H7"/>
    <x:mergeCell ref="I5:J7"/>
    <x:mergeCell ref="K5:L7"/>
    <x:mergeCell ref="M5:N7"/>
    <x:mergeCell ref="A31:N34"/>
  </x:mergeCells>
  <x:pageMargins left="0.7" right="0.7" top="0.75" bottom="0.75" header="0.3" footer="0.3"/>
  <x:drawing xmlns:r="http://schemas.openxmlformats.org/officeDocument/2006/relationships" r:id="R2e610e122079403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32" hidden="0" customWidth="1"/>
    <x:col min="4" max="4" width="31" hidden="0" customWidth="1"/>
    <x:col min="5" max="5" width="28" hidden="0" customWidth="1"/>
    <x:col min="6" max="6" width="24" hidden="0" customWidth="1"/>
    <x:col min="7" max="7" width="42" hidden="0" customWidth="1"/>
    <x:col min="8" max="8" width="31" hidden="0" customWidth="1"/>
    <x:col min="9" max="9" width="34" hidden="0" customWidth="1"/>
    <x:col min="10" max="10" width="14" hidden="0" customWidth="1"/>
    <x:col min="11" max="11" width="12" hidden="0" customWidth="1"/>
    <x:col min="12" max="12" width="14" hidden="0" customWidth="1"/>
    <x:col min="13" max="13" width="27" hidden="0" customWidth="1"/>
    <x:col min="14" max="14" width="21" hidden="0" customWidth="1"/>
    <x:col min="15" max="15" width="28" hidden="0" customWidth="1"/>
  </x:cols>
  <x:sheetData>
    <x:row r="1" ht="30" customHeight="1">
      <x:c r="A1" s="6" t="str">
        <x:v>Test Case ID</x:v>
      </x:c>
      <x:c r="B1" s="6" t="str">
        <x:v>Module</x:v>
      </x:c>
      <x:c r="C1" s="6" t="str">
        <x:v>Test Scenario</x:v>
      </x:c>
      <x:c r="D1" s="6" t="str">
        <x:v>Test Objective</x:v>
      </x:c>
      <x:c r="E1" s="6" t="str">
        <x:v>Preconditions</x:v>
      </x:c>
      <x:c r="F1" s="6" t="str">
        <x:v>Test Data</x:v>
      </x:c>
      <x:c r="G1" s="6" t="str">
        <x:v>Execution Steps</x:v>
      </x:c>
      <x:c r="H1" s="6" t="str">
        <x:v>Expected Result</x:v>
      </x:c>
      <x:c r="I1" s="6" t="str">
        <x:v>Actual Result</x:v>
      </x:c>
      <x:c r="J1" s="6" t="str">
        <x:v>Status</x:v>
      </x:c>
      <x:c r="K1" s="6" t="str">
        <x:v>Priority</x:v>
      </x:c>
      <x:c r="L1" s="6" t="str">
        <x:v>Severity if Failed</x:v>
      </x:c>
      <x:c r="M1" s="6" t="str">
        <x:v>Environment</x:v>
      </x:c>
      <x:c r="N1" s="6" t="str">
        <x:v>Evidence Reference</x:v>
      </x:c>
      <x:c r="O1" s="6" t="str">
        <x:v>Remarks</x:v>
      </x:c>
    </x:row>
    <x:row r="2">
      <x:c r="A2" s="10" t="str">
        <x:v>AUT-001</x:v>
      </x:c>
      <x:c r="B2" s="10" t="str">
        <x:v>Filters</x:v>
      </x:c>
      <x:c r="C2" s="10" t="str">
        <x:v>compact layout keeps header and sticky actions readable</x:v>
      </x:c>
      <x:c r="D2" s="10" t="str">
        <x:v>Verify the automated contract: compact layout keeps header and sticky actions readable.</x:v>
      </x:c>
      <x:c r="E2" s="10" t="str">
        <x:v>Dependencies resolved; Flutter test binding available.</x:v>
      </x:c>
      <x:c r="F2" s="10" t="str">
        <x:v>Local fictional fixtures and bundled assets only.</x:v>
      </x:c>
      <x:c r="G2" s="10" t="str">
        <x:v>1. Run flutter test test/advanced_filters_screen_test.dart.
2. Execute the testWidgets case named 'compact layout keeps header and sticky actions readable'.
3. Compare assertions and captured exceptions.</x:v>
      </x:c>
      <x:c r="H2" s="10" t="str">
        <x:v>All declared assertions pass without uncaught exceptions.</x:v>
      </x:c>
      <x:c r="I2" s="10" t="str">
        <x:v>Automated assertion completed without an exception.</x:v>
      </x:c>
      <x:c r="J2" s="10" t="str">
        <x:v>Pass</x:v>
      </x:c>
      <x:c r="K2" s="10" t="str">
        <x:v>Medium</x:v>
      </x:c>
      <x:c r="L2" s="10" t="str"/>
      <x:c r="M2" s="10" t="str">
        <x:v>Windows 11; Flutter 3.44.6; Dart 3.12.2; widget test</x:v>
      </x:c>
      <x:c r="N2" s="10" t="str">
        <x:v>EV-UI-002; EV-TEST-001</x:v>
      </x:c>
      <x:c r="O2" s="10" t="str">
        <x:v>Executed in the complete Flutter test run.</x:v>
      </x:c>
    </x:row>
    <x:row r="3">
      <x:c r="A3" s="11" t="str">
        <x:v>AUT-002</x:v>
      </x:c>
      <x:c r="B3" s="11" t="str">
        <x:v>Filters</x:v>
      </x:c>
      <x:c r="C3" s="11" t="str">
        <x:v>filter search reveals and highlights matching section</x:v>
      </x:c>
      <x:c r="D3" s="11" t="str">
        <x:v>Verify the automated contract: filter search reveals and highlights matching section.</x:v>
      </x:c>
      <x:c r="E3" s="11" t="str">
        <x:v>Dependencies resolved; Flutter test binding available.</x:v>
      </x:c>
      <x:c r="F3" s="11" t="str">
        <x:v>Local fictional fixtures and bundled assets only.</x:v>
      </x:c>
      <x:c r="G3" s="11" t="str">
        <x:v>1. Run flutter test test/advanced_filters_screen_test.dart.
2. Execute the testWidgets case named 'filter search reveals and highlights matching section'.
3. Compare assertions and captured exceptions.</x:v>
      </x:c>
      <x:c r="H3" s="11" t="str">
        <x:v>All declared assertions pass without uncaught exceptions.</x:v>
      </x:c>
      <x:c r="I3" s="11" t="str">
        <x:v>Automated assertion completed without an exception.</x:v>
      </x:c>
      <x:c r="J3" s="11" t="str">
        <x:v>Pass</x:v>
      </x:c>
      <x:c r="K3" s="11" t="str">
        <x:v>Medium</x:v>
      </x:c>
      <x:c r="L3" s="11" t="str"/>
      <x:c r="M3" s="11" t="str">
        <x:v>Windows 11; Flutter 3.44.6; Dart 3.12.2; widget test</x:v>
      </x:c>
      <x:c r="N3" s="11" t="str">
        <x:v>EV-UI-002; EV-TEST-001</x:v>
      </x:c>
      <x:c r="O3" s="11" t="str">
        <x:v>Executed in the complete Flutter test run.</x:v>
      </x:c>
    </x:row>
    <x:row r="4">
      <x:c r="A4" s="11" t="str">
        <x:v>AUT-003</x:v>
      </x:c>
      <x:c r="B4" s="11" t="str">
        <x:v>Filters</x:v>
      </x:c>
      <x:c r="C4" s="11" t="str">
        <x:v>expand, reset, and apply retain the existing callbacks</x:v>
      </x:c>
      <x:c r="D4" s="11" t="str">
        <x:v>Verify the automated contract: expand, reset, and apply retain the existing callbacks.</x:v>
      </x:c>
      <x:c r="E4" s="11" t="str">
        <x:v>Dependencies resolved; Flutter test binding available.</x:v>
      </x:c>
      <x:c r="F4" s="11" t="str">
        <x:v>Local fictional fixtures and bundled assets only.</x:v>
      </x:c>
      <x:c r="G4" s="11" t="str">
        <x:v>1. Run flutter test test/advanced_filters_screen_test.dart.
2. Execute the testWidgets case named 'expand, reset, and apply retain the existing callbacks'.
3. Compare assertions and captured exceptions.</x:v>
      </x:c>
      <x:c r="H4" s="11" t="str">
        <x:v>All declared assertions pass without uncaught exceptions.</x:v>
      </x:c>
      <x:c r="I4" s="11" t="str">
        <x:v>Automated assertion completed without an exception.</x:v>
      </x:c>
      <x:c r="J4" s="11" t="str">
        <x:v>Pass</x:v>
      </x:c>
      <x:c r="K4" s="11" t="str">
        <x:v>Medium</x:v>
      </x:c>
      <x:c r="L4" s="11" t="str"/>
      <x:c r="M4" s="11" t="str">
        <x:v>Windows 11; Flutter 3.44.6; Dart 3.12.2; widget test</x:v>
      </x:c>
      <x:c r="N4" s="11" t="str">
        <x:v>EV-UI-002; EV-TEST-001</x:v>
      </x:c>
      <x:c r="O4" s="11" t="str">
        <x:v>Executed in the complete Flutter test run.</x:v>
      </x:c>
    </x:row>
    <x:row r="5">
      <x:c r="A5" s="11" t="str">
        <x:v>AUT-004</x:v>
      </x:c>
      <x:c r="B5" s="11" t="str">
        <x:v>Filters</x:v>
      </x:c>
      <x:c r="C5" s="11" t="str">
        <x:v>desktop layout remains centered and overflow-free</x:v>
      </x:c>
      <x:c r="D5" s="11" t="str">
        <x:v>Verify the automated contract: desktop layout remains centered and overflow-free.</x:v>
      </x:c>
      <x:c r="E5" s="11" t="str">
        <x:v>Dependencies resolved; Flutter test binding available.</x:v>
      </x:c>
      <x:c r="F5" s="11" t="str">
        <x:v>Local fictional fixtures and bundled assets only.</x:v>
      </x:c>
      <x:c r="G5" s="11" t="str">
        <x:v>1. Run flutter test test/advanced_filters_screen_test.dart.
2. Execute the testWidgets case named 'desktop layout remains centered and overflow-free'.
3. Compare assertions and captured exceptions.</x:v>
      </x:c>
      <x:c r="H5" s="11" t="str">
        <x:v>All declared assertions pass without uncaught exceptions.</x:v>
      </x:c>
      <x:c r="I5" s="11" t="str">
        <x:v>Automated assertion completed without an exception.</x:v>
      </x:c>
      <x:c r="J5" s="11" t="str">
        <x:v>Pass</x:v>
      </x:c>
      <x:c r="K5" s="11" t="str">
        <x:v>Medium</x:v>
      </x:c>
      <x:c r="L5" s="11" t="str"/>
      <x:c r="M5" s="11" t="str">
        <x:v>Windows 11; Flutter 3.44.6; Dart 3.12.2; widget test</x:v>
      </x:c>
      <x:c r="N5" s="11" t="str">
        <x:v>EV-UI-002; EV-TEST-001</x:v>
      </x:c>
      <x:c r="O5" s="11" t="str">
        <x:v>Executed in the complete Flutter test run.</x:v>
      </x:c>
    </x:row>
    <x:row r="6">
      <x:c r="A6" s="11" t="str">
        <x:v>AUT-005</x:v>
      </x:c>
      <x:c r="B6" s="11" t="str">
        <x:v>Authentication</x:v>
      </x:c>
      <x:c r="C6" s="11" t="str">
        <x:v>all auth screens render without overflow at 320px</x:v>
      </x:c>
      <x:c r="D6" s="11" t="str">
        <x:v>Verify the automated contract: all auth screens render without overflow at 320px.</x:v>
      </x:c>
      <x:c r="E6" s="11" t="str">
        <x:v>Dependencies resolved; Flutter test binding available.</x:v>
      </x:c>
      <x:c r="F6" s="11" t="str">
        <x:v>Local fictional fixtures and bundled assets only.</x:v>
      </x:c>
      <x:c r="G6" s="11" t="str">
        <x:v>1. Run flutter test test/auth_experience_test.dart.
2. Execute the testWidgets case named 'all auth screens render without overflow at 320px'.
3. Compare assertions and captured exceptions.</x:v>
      </x:c>
      <x:c r="H6" s="11" t="str">
        <x:v>All declared assertions pass without uncaught exceptions.</x:v>
      </x:c>
      <x:c r="I6" s="11" t="str">
        <x:v>Automated assertion completed without an exception.</x:v>
      </x:c>
      <x:c r="J6" s="11" t="str">
        <x:v>Pass</x:v>
      </x:c>
      <x:c r="K6" s="11" t="str">
        <x:v>High</x:v>
      </x:c>
      <x:c r="L6" s="11" t="str"/>
      <x:c r="M6" s="11" t="str">
        <x:v>Windows 11; Flutter 3.44.6; Dart 3.12.2; widget test</x:v>
      </x:c>
      <x:c r="N6" s="11" t="str">
        <x:v>EV-UI-001; EV-TEST-001</x:v>
      </x:c>
      <x:c r="O6" s="11" t="str">
        <x:v>Executed in the complete Flutter test run.</x:v>
      </x:c>
    </x:row>
    <x:row r="7">
      <x:c r="A7" s="11" t="str">
        <x:v>AUT-006</x:v>
      </x:c>
      <x:c r="B7" s="11" t="str">
        <x:v>Authentication</x:v>
      </x:c>
      <x:c r="C7" s="11" t="str">
        <x:v>auth shell stays centered and constrained on desktop</x:v>
      </x:c>
      <x:c r="D7" s="11" t="str">
        <x:v>Verify the automated contract: auth shell stays centered and constrained on desktop.</x:v>
      </x:c>
      <x:c r="E7" s="11" t="str">
        <x:v>Dependencies resolved; Flutter test binding available.</x:v>
      </x:c>
      <x:c r="F7" s="11" t="str">
        <x:v>Local fictional fixtures and bundled assets only.</x:v>
      </x:c>
      <x:c r="G7" s="11" t="str">
        <x:v>1. Run flutter test test/auth_experience_test.dart.
2. Execute the testWidgets case named 'auth shell stays centered and constrained on desktop'.
3. Compare assertions and captured exceptions.</x:v>
      </x:c>
      <x:c r="H7" s="11" t="str">
        <x:v>All declared assertions pass without uncaught exceptions.</x:v>
      </x:c>
      <x:c r="I7" s="11" t="str">
        <x:v>Automated assertion completed without an exception.</x:v>
      </x:c>
      <x:c r="J7" s="11" t="str">
        <x:v>Pass</x:v>
      </x:c>
      <x:c r="K7" s="11" t="str">
        <x:v>High</x:v>
      </x:c>
      <x:c r="L7" s="11" t="str"/>
      <x:c r="M7" s="11" t="str">
        <x:v>Windows 11; Flutter 3.44.6; Dart 3.12.2; widget test</x:v>
      </x:c>
      <x:c r="N7" s="11" t="str">
        <x:v>EV-UI-001; EV-TEST-001</x:v>
      </x:c>
      <x:c r="O7" s="11" t="str">
        <x:v>Executed in the complete Flutter test run.</x:v>
      </x:c>
    </x:row>
    <x:row r="8">
      <x:c r="A8" s="11" t="str">
        <x:v>AUT-007</x:v>
      </x:c>
      <x:c r="B8" s="11" t="str">
        <x:v>Authentication</x:v>
      </x:c>
      <x:c r="C8" s="11" t="str">
        <x:v>phone flow transitions to one responsive OTP state</x:v>
      </x:c>
      <x:c r="D8" s="11" t="str">
        <x:v>Verify the automated contract: phone flow transitions to one responsive OTP state.</x:v>
      </x:c>
      <x:c r="E8" s="11" t="str">
        <x:v>Dependencies resolved; Flutter test binding available.</x:v>
      </x:c>
      <x:c r="F8" s="11" t="str">
        <x:v>Local fictional fixtures and bundled assets only.</x:v>
      </x:c>
      <x:c r="G8" s="11" t="str">
        <x:v>1. Run flutter test test/auth_experience_test.dart.
2. Execute the testWidgets case named 'phone flow transitions to one responsive OTP state'.
3. Compare assertions and captured exceptions.</x:v>
      </x:c>
      <x:c r="H8" s="11" t="str">
        <x:v>All declared assertions pass without uncaught exceptions.</x:v>
      </x:c>
      <x:c r="I8" s="11" t="str">
        <x:v>Automated assertion completed without an exception.</x:v>
      </x:c>
      <x:c r="J8" s="11" t="str">
        <x:v>Pass</x:v>
      </x:c>
      <x:c r="K8" s="11" t="str">
        <x:v>High</x:v>
      </x:c>
      <x:c r="L8" s="11" t="str"/>
      <x:c r="M8" s="11" t="str">
        <x:v>Windows 11; Flutter 3.44.6; Dart 3.12.2; widget test</x:v>
      </x:c>
      <x:c r="N8" s="11" t="str">
        <x:v>EV-UI-001; EV-TEST-001</x:v>
      </x:c>
      <x:c r="O8" s="11" t="str">
        <x:v>Executed in the complete Flutter test run.</x:v>
      </x:c>
    </x:row>
    <x:row r="9">
      <x:c r="A9" s="11" t="str">
        <x:v>AUT-008</x:v>
      </x:c>
      <x:c r="B9" s="11" t="str">
        <x:v>Authentication</x:v>
      </x:c>
      <x:c r="C9" s="11" t="str">
        <x:v>responsive OTP supports four digits, paste, and backspace</x:v>
      </x:c>
      <x:c r="D9" s="11" t="str">
        <x:v>Verify the automated contract: responsive OTP supports four digits, paste, and backspace.</x:v>
      </x:c>
      <x:c r="E9" s="11" t="str">
        <x:v>Dependencies resolved; Flutter test binding available.</x:v>
      </x:c>
      <x:c r="F9" s="11" t="str">
        <x:v>Local fictional fixtures and bundled assets only.</x:v>
      </x:c>
      <x:c r="G9" s="11" t="str">
        <x:v>1. Run flutter test test/auth_experience_test.dart.
2. Execute the testWidgets case named 'responsive OTP supports four digits, paste, and backspace'.
3. Compare assertions and captured exceptions.</x:v>
      </x:c>
      <x:c r="H9" s="11" t="str">
        <x:v>All declared assertions pass without uncaught exceptions.</x:v>
      </x:c>
      <x:c r="I9" s="11" t="str">
        <x:v>Automated assertion completed without an exception.</x:v>
      </x:c>
      <x:c r="J9" s="11" t="str">
        <x:v>Pass</x:v>
      </x:c>
      <x:c r="K9" s="11" t="str">
        <x:v>High</x:v>
      </x:c>
      <x:c r="L9" s="11" t="str"/>
      <x:c r="M9" s="11" t="str">
        <x:v>Windows 11; Flutter 3.44.6; Dart 3.12.2; widget test</x:v>
      </x:c>
      <x:c r="N9" s="11" t="str">
        <x:v>EV-UI-001; EV-TEST-001</x:v>
      </x:c>
      <x:c r="O9" s="11" t="str">
        <x:v>Executed in the complete Flutter test run.</x:v>
      </x:c>
    </x:row>
    <x:row r="10">
      <x:c r="A10" s="11" t="str">
        <x:v>AUT-009</x:v>
      </x:c>
      <x:c r="B10" s="11" t="str">
        <x:v>Authentication</x:v>
      </x:c>
      <x:c r="C10" s="11" t="str">
        <x:v>six OTP cells stay contained at intermediate widths</x:v>
      </x:c>
      <x:c r="D10" s="11" t="str">
        <x:v>Verify the automated contract: six OTP cells stay contained at intermediate widths.</x:v>
      </x:c>
      <x:c r="E10" s="11" t="str">
        <x:v>Dependencies resolved; Flutter test binding available.</x:v>
      </x:c>
      <x:c r="F10" s="11" t="str">
        <x:v>Local fictional fixtures and bundled assets only.</x:v>
      </x:c>
      <x:c r="G10" s="11" t="str">
        <x:v>1. Run flutter test test/auth_experience_test.dart.
2. Execute the testWidgets case named 'six OTP cells stay contained at intermediate widths'.
3. Compare assertions and captured exceptions.</x:v>
      </x:c>
      <x:c r="H10" s="11" t="str">
        <x:v>All declared assertions pass without uncaught exceptions.</x:v>
      </x:c>
      <x:c r="I10" s="11" t="str">
        <x:v>Automated assertion completed without an exception.</x:v>
      </x:c>
      <x:c r="J10" s="11" t="str">
        <x:v>Pass</x:v>
      </x:c>
      <x:c r="K10" s="11" t="str">
        <x:v>High</x:v>
      </x:c>
      <x:c r="L10" s="11" t="str"/>
      <x:c r="M10" s="11" t="str">
        <x:v>Windows 11; Flutter 3.44.6; Dart 3.12.2; widget test</x:v>
      </x:c>
      <x:c r="N10" s="11" t="str">
        <x:v>EV-UI-001; EV-TEST-001</x:v>
      </x:c>
      <x:c r="O10" s="11" t="str">
        <x:v>Executed in the complete Flutter test run.</x:v>
      </x:c>
    </x:row>
    <x:row r="11">
      <x:c r="A11" s="11" t="str">
        <x:v>AUT-010</x:v>
      </x:c>
      <x:c r="B11" s="11" t="str">
        <x:v>Authentication</x:v>
      </x:c>
      <x:c r="C11" s="11" t="str">
        <x:v>focused auth fields remain overflow-free with keyboard inset</x:v>
      </x:c>
      <x:c r="D11" s="11" t="str">
        <x:v>Verify the automated contract: focused auth fields remain overflow-free with keyboard inset.</x:v>
      </x:c>
      <x:c r="E11" s="11" t="str">
        <x:v>Dependencies resolved; Flutter test binding available.</x:v>
      </x:c>
      <x:c r="F11" s="11" t="str">
        <x:v>Local fictional fixtures and bundled assets only.</x:v>
      </x:c>
      <x:c r="G11" s="11" t="str">
        <x:v>1. Run flutter test test/auth_experience_test.dart.
2. Execute the testWidgets case named 'focused auth fields remain overflow-free with keyboard inset'.
3. Compare assertions and captured exceptions.</x:v>
      </x:c>
      <x:c r="H11" s="11" t="str">
        <x:v>All declared assertions pass without uncaught exceptions.</x:v>
      </x:c>
      <x:c r="I11" s="11" t="str">
        <x:v>Automated assertion completed without an exception.</x:v>
      </x:c>
      <x:c r="J11" s="11" t="str">
        <x:v>Pass</x:v>
      </x:c>
      <x:c r="K11" s="11" t="str">
        <x:v>High</x:v>
      </x:c>
      <x:c r="L11" s="11" t="str"/>
      <x:c r="M11" s="11" t="str">
        <x:v>Windows 11; Flutter 3.44.6; Dart 3.12.2; widget test</x:v>
      </x:c>
      <x:c r="N11" s="11" t="str">
        <x:v>EV-UI-001; EV-TEST-001</x:v>
      </x:c>
      <x:c r="O11" s="11" t="str">
        <x:v>Executed in the complete Flutter test run.</x:v>
      </x:c>
    </x:row>
    <x:row r="12">
      <x:c r="A12" s="11" t="str">
        <x:v>AUT-011</x:v>
      </x:c>
      <x:c r="B12" s="11" t="str">
        <x:v>Design System</x:v>
      </x:c>
      <x:c r="C12" s="11" t="str">
        <x:v>approved AMORA_AI 2027 brand colors remain exact</x:v>
      </x:c>
      <x:c r="D12" s="11" t="str">
        <x:v>Verify the automated contract: approved AMORA_AI 2027 brand colors remain exact.</x:v>
      </x:c>
      <x:c r="E12" s="11" t="str">
        <x:v>Dependencies resolved; Flutter test binding available.</x:v>
      </x:c>
      <x:c r="F12" s="11" t="str">
        <x:v>Local fictional fixtures and bundled assets only.</x:v>
      </x:c>
      <x:c r="G12" s="11" t="str">
        <x:v>1. Run flutter test test/brand_theme_test.dart.
2. Execute the test case named 'approved AMORA_AI 2027 brand colors remain exact'.
3. Compare assertions and captured exceptions.</x:v>
      </x:c>
      <x:c r="H12" s="11" t="str">
        <x:v>All declared assertions pass without uncaught exceptions.</x:v>
      </x:c>
      <x:c r="I12" s="11" t="str">
        <x:v>Automated assertion completed without an exception.</x:v>
      </x:c>
      <x:c r="J12" s="11" t="str">
        <x:v>Pass</x:v>
      </x:c>
      <x:c r="K12" s="11" t="str">
        <x:v>Medium</x:v>
      </x:c>
      <x:c r="L12" s="11" t="str"/>
      <x:c r="M12" s="11" t="str">
        <x:v>Windows 11; Flutter 3.44.6; Dart 3.12.2; widget test</x:v>
      </x:c>
      <x:c r="N12" s="11" t="str">
        <x:v>EV-TEST-001</x:v>
      </x:c>
      <x:c r="O12" s="11" t="str">
        <x:v>Executed in the complete Flutter test run.</x:v>
      </x:c>
    </x:row>
    <x:row r="13">
      <x:c r="A13" s="11" t="str">
        <x:v>AUT-012</x:v>
      </x:c>
      <x:c r="B13" s="11" t="str">
        <x:v>Design System</x:v>
      </x:c>
      <x:c r="C13" s="11" t="str">
        <x:v>Material states use the semantic brand hierarchy</x:v>
      </x:c>
      <x:c r="D13" s="11" t="str">
        <x:v>Verify the automated contract: Material states use the semantic brand hierarchy.</x:v>
      </x:c>
      <x:c r="E13" s="11" t="str">
        <x:v>Dependencies resolved; Flutter test binding available.</x:v>
      </x:c>
      <x:c r="F13" s="11" t="str">
        <x:v>Local fictional fixtures and bundled assets only.</x:v>
      </x:c>
      <x:c r="G13" s="11" t="str">
        <x:v>1. Run flutter test test/brand_theme_test.dart.
2. Execute the test case named 'Material states use the semantic brand hierarchy'.
3. Compare assertions and captured exceptions.</x:v>
      </x:c>
      <x:c r="H13" s="11" t="str">
        <x:v>All declared assertions pass without uncaught exceptions.</x:v>
      </x:c>
      <x:c r="I13" s="11" t="str">
        <x:v>Automated assertion completed without an exception.</x:v>
      </x:c>
      <x:c r="J13" s="11" t="str">
        <x:v>Pass</x:v>
      </x:c>
      <x:c r="K13" s="11" t="str">
        <x:v>Medium</x:v>
      </x:c>
      <x:c r="L13" s="11" t="str"/>
      <x:c r="M13" s="11" t="str">
        <x:v>Windows 11; Flutter 3.44.6; Dart 3.12.2; widget test</x:v>
      </x:c>
      <x:c r="N13" s="11" t="str">
        <x:v>EV-TEST-001</x:v>
      </x:c>
      <x:c r="O13" s="11" t="str">
        <x:v>Executed in the complete Flutter test run.</x:v>
      </x:c>
    </x:row>
    <x:row r="14">
      <x:c r="A14" s="11" t="str">
        <x:v>AUT-013</x:v>
      </x:c>
      <x:c r="B14" s="11" t="str">
        <x:v>Design System</x:v>
      </x:c>
      <x:c r="C14" s="11" t="str">
        <x:v>secondary action, badges, and compact navigation stay on-brand</x:v>
      </x:c>
      <x:c r="D14" s="11" t="str">
        <x:v>Verify the automated contract: secondary action, badges, and compact navigation stay on-brand.</x:v>
      </x:c>
      <x:c r="E14" s="11" t="str">
        <x:v>Dependencies resolved; Flutter test binding available.</x:v>
      </x:c>
      <x:c r="F14" s="11" t="str">
        <x:v>Local fictional fixtures and bundled assets only.</x:v>
      </x:c>
      <x:c r="G14" s="11" t="str">
        <x:v>1. Run flutter test test/brand_theme_test.dart.
2. Execute the testWidgets case named 'secondary action, badges, and compact navigation stay on-brand'.
3. Compare assertions and captured exceptions.</x:v>
      </x:c>
      <x:c r="H14" s="11" t="str">
        <x:v>All declared assertions pass without uncaught exceptions.</x:v>
      </x:c>
      <x:c r="I14" s="11" t="str">
        <x:v>The tested FilledButton resolved to #3D0B3F instead of the expected secondary #EC5FA8.</x:v>
      </x:c>
      <x:c r="J14" s="11" t="str">
        <x:v>Fail</x:v>
      </x:c>
      <x:c r="K14" s="11" t="str">
        <x:v>Medium</x:v>
      </x:c>
      <x:c r="L14" s="11" t="str">
        <x:v>P3</x:v>
      </x:c>
      <x:c r="M14" s="11" t="str">
        <x:v>Windows 11; Flutter 3.44.6; Dart 3.12.2; widget test</x:v>
      </x:c>
      <x:c r="N14" s="11" t="str">
        <x:v>EV-TEST-001</x:v>
      </x:c>
      <x:c r="O14" s="11" t="str">
        <x:v>Mapped to BUG-UI-002.</x:v>
      </x:c>
    </x:row>
    <x:row r="15">
      <x:c r="A15" s="11" t="str">
        <x:v>AUT-014</x:v>
      </x:c>
      <x:c r="B15" s="11" t="str">
        <x:v>Design System</x:v>
      </x:c>
      <x:c r="C15" s="11" t="str">
        <x:v>core text combinations meet WCAG AA contrast</x:v>
      </x:c>
      <x:c r="D15" s="11" t="str">
        <x:v>Verify the automated contract: core text combinations meet WCAG AA contrast.</x:v>
      </x:c>
      <x:c r="E15" s="11" t="str">
        <x:v>Dependencies resolved; Flutter test binding available.</x:v>
      </x:c>
      <x:c r="F15" s="11" t="str">
        <x:v>Local fictional fixtures and bundled assets only.</x:v>
      </x:c>
      <x:c r="G15" s="11" t="str">
        <x:v>1. Run flutter test test/brand_theme_test.dart.
2. Execute the test case named 'core text combinations meet WCAG AA contrast'.
3. Compare assertions and captured exceptions.</x:v>
      </x:c>
      <x:c r="H15" s="11" t="str">
        <x:v>All declared assertions pass without uncaught exceptions.</x:v>
      </x:c>
      <x:c r="I15" s="11" t="str">
        <x:v>AppColors.onSecondary on AppColors.secondary measured 3.10:1; the automated threshold was &gt;4.5:1.</x:v>
      </x:c>
      <x:c r="J15" s="11" t="str">
        <x:v>Fail</x:v>
      </x:c>
      <x:c r="K15" s="11" t="str">
        <x:v>Medium</x:v>
      </x:c>
      <x:c r="L15" s="11" t="str">
        <x:v>P2</x:v>
      </x:c>
      <x:c r="M15" s="11" t="str">
        <x:v>Windows 11; Flutter 3.44.6; Dart 3.12.2; widget test</x:v>
      </x:c>
      <x:c r="N15" s="11" t="str">
        <x:v>EV-TEST-001</x:v>
      </x:c>
      <x:c r="O15" s="11" t="str">
        <x:v>Mapped to BUG-UI-001.</x:v>
      </x:c>
    </x:row>
    <x:row r="16">
      <x:c r="A16" s="11" t="str">
        <x:v>AUT-015</x:v>
      </x:c>
      <x:c r="B16" s="11" t="str">
        <x:v>Design System</x:v>
      </x:c>
      <x:c r="C16" s="11" t="str">
        <x:v>feature code contains no raw Flutter color literals</x:v>
      </x:c>
      <x:c r="D16" s="11" t="str">
        <x:v>Verify the automated contract: feature code contains no raw Flutter color literals.</x:v>
      </x:c>
      <x:c r="E16" s="11" t="str">
        <x:v>Dependencies resolved; Flutter test binding available.</x:v>
      </x:c>
      <x:c r="F16" s="11" t="str">
        <x:v>Local fictional fixtures and bundled assets only.</x:v>
      </x:c>
      <x:c r="G16" s="11" t="str">
        <x:v>1. Run flutter test test/brand_theme_test.dart.
2. Execute the test case named 'feature code contains no raw Flutter color literals'.
3. Compare assertions and captured exceptions.</x:v>
      </x:c>
      <x:c r="H16" s="11" t="str">
        <x:v>All declared assertions pass without uncaught exceptions.</x:v>
      </x:c>
      <x:c r="I16" s="11" t="str">
        <x:v>Automated assertion completed without an exception.</x:v>
      </x:c>
      <x:c r="J16" s="11" t="str">
        <x:v>Pass</x:v>
      </x:c>
      <x:c r="K16" s="11" t="str">
        <x:v>Medium</x:v>
      </x:c>
      <x:c r="L16" s="11" t="str"/>
      <x:c r="M16" s="11" t="str">
        <x:v>Windows 11; Flutter 3.44.6; Dart 3.12.2; widget test</x:v>
      </x:c>
      <x:c r="N16" s="11" t="str">
        <x:v>EV-TEST-001</x:v>
      </x:c>
      <x:c r="O16" s="11" t="str">
        <x:v>Executed in the complete Flutter test run.</x:v>
      </x:c>
    </x:row>
    <x:row r="17">
      <x:c r="A17" s="11" t="str">
        <x:v>AUT-016</x:v>
      </x:c>
      <x:c r="B17" s="11" t="str">
        <x:v>Chats</x:v>
      </x:c>
      <x:c r="C17" s="11" t="str">
        <x:v>chat preserves accessible icon targets at 320px</x:v>
      </x:c>
      <x:c r="D17" s="11" t="str">
        <x:v>Verify the automated contract: chat preserves accessible icon targets at 320px.</x:v>
      </x:c>
      <x:c r="E17" s="11" t="str">
        <x:v>Dependencies resolved; Flutter test binding available.</x:v>
      </x:c>
      <x:c r="F17" s="11" t="str">
        <x:v>Local fictional fixtures and bundled assets only.</x:v>
      </x:c>
      <x:c r="G17" s="11" t="str">
        <x:v>1. Run flutter test test/chat_icon_layout_test.dart.
2. Execute the testWidgets case named 'chat preserves accessible icon targets at 320px'.
3. Compare assertions and captured exceptions.</x:v>
      </x:c>
      <x:c r="H17" s="11" t="str">
        <x:v>All declared assertions pass without uncaught exceptions.</x:v>
      </x:c>
      <x:c r="I17" s="11" t="str">
        <x:v>Automated assertion completed without an exception.</x:v>
      </x:c>
      <x:c r="J17" s="11" t="str">
        <x:v>Pass</x:v>
      </x:c>
      <x:c r="K17" s="11" t="str">
        <x:v>High</x:v>
      </x:c>
      <x:c r="L17" s="11" t="str"/>
      <x:c r="M17" s="11" t="str">
        <x:v>Windows 11; Flutter 3.44.6; Dart 3.12.2; widget test</x:v>
      </x:c>
      <x:c r="N17" s="11" t="str">
        <x:v>EV-TEST-001</x:v>
      </x:c>
      <x:c r="O17" s="11" t="str">
        <x:v>Executed in the complete Flutter test run.</x:v>
      </x:c>
    </x:row>
    <x:row r="18">
      <x:c r="A18" s="11" t="str">
        <x:v>AUT-017</x:v>
      </x:c>
      <x:c r="B18" s="11" t="str">
        <x:v>Chats</x:v>
      </x:c>
      <x:c r="C18" s="11" t="str">
        <x:v>chat detail remains overflow-free at 375px</x:v>
      </x:c>
      <x:c r="D18" s="11" t="str">
        <x:v>Verify the automated contract: chat detail remains overflow-free at 375px.</x:v>
      </x:c>
      <x:c r="E18" s="11" t="str">
        <x:v>Dependencies resolved; Flutter test binding available.</x:v>
      </x:c>
      <x:c r="F18" s="11" t="str">
        <x:v>Local fictional fixtures and bundled assets only.</x:v>
      </x:c>
      <x:c r="G18" s="11" t="str">
        <x:v>1. Run flutter test test/chat_icon_layout_test.dart.
2. Execute the testWidgets case named 'chat detail remains overflow-free at 375px'.
3. Compare assertions and captured exceptions.</x:v>
      </x:c>
      <x:c r="H18" s="11" t="str">
        <x:v>All declared assertions pass without uncaught exceptions.</x:v>
      </x:c>
      <x:c r="I18" s="11" t="str">
        <x:v>Automated assertion completed without an exception.</x:v>
      </x:c>
      <x:c r="J18" s="11" t="str">
        <x:v>Pass</x:v>
      </x:c>
      <x:c r="K18" s="11" t="str">
        <x:v>High</x:v>
      </x:c>
      <x:c r="L18" s="11" t="str"/>
      <x:c r="M18" s="11" t="str">
        <x:v>Windows 11; Flutter 3.44.6; Dart 3.12.2; widget test</x:v>
      </x:c>
      <x:c r="N18" s="11" t="str">
        <x:v>EV-TEST-001</x:v>
      </x:c>
      <x:c r="O18" s="11" t="str">
        <x:v>Executed in the complete Flutter test run.</x:v>
      </x:c>
    </x:row>
    <x:row r="19">
      <x:c r="A19" s="11" t="str">
        <x:v>AUT-018</x:v>
      </x:c>
      <x:c r="B19" s="11" t="str">
        <x:v>Chats</x:v>
      </x:c>
      <x:c r="C19" s="11" t="str">
        <x:v>renders a compact real-data inbox at 320px</x:v>
      </x:c>
      <x:c r="D19" s="11" t="str">
        <x:v>Verify the automated contract: renders a compact real-data inbox at 320px.</x:v>
      </x:c>
      <x:c r="E19" s="11" t="str">
        <x:v>Dependencies resolved; Flutter test binding available.</x:v>
      </x:c>
      <x:c r="F19" s="11" t="str">
        <x:v>Local fictional fixtures and bundled assets only.</x:v>
      </x:c>
      <x:c r="G19" s="11" t="str">
        <x:v>1. Run flutter test test/chat_list_screen_test.dart.
2. Execute the testWidgets case named 'renders a compact real-data inbox at 320px'.
3. Compare assertions and captured exceptions.</x:v>
      </x:c>
      <x:c r="H19" s="11" t="str">
        <x:v>All declared assertions pass without uncaught exceptions.</x:v>
      </x:c>
      <x:c r="I19" s="11" t="str">
        <x:v>Automated assertion completed without an exception.</x:v>
      </x:c>
      <x:c r="J19" s="11" t="str">
        <x:v>Pass</x:v>
      </x:c>
      <x:c r="K19" s="11" t="str">
        <x:v>High</x:v>
      </x:c>
      <x:c r="L19" s="11" t="str"/>
      <x:c r="M19" s="11" t="str">
        <x:v>Windows 11; Flutter 3.44.6; Dart 3.12.2; widget test</x:v>
      </x:c>
      <x:c r="N19" s="11" t="str">
        <x:v>EV-TEST-001</x:v>
      </x:c>
      <x:c r="O19" s="11" t="str">
        <x:v>Executed in the complete Flutter test run.</x:v>
      </x:c>
    </x:row>
    <x:row r="20">
      <x:c r="A20" s="11" t="str">
        <x:v>AUT-019</x:v>
      </x:c>
      <x:c r="B20" s="11" t="str">
        <x:v>Chats</x:v>
      </x:c>
      <x:c r="C20" s="11" t="str">
        <x:v>searches existing names and message content and clears</x:v>
      </x:c>
      <x:c r="D20" s="11" t="str">
        <x:v>Verify the automated contract: searches existing names and message content and clears.</x:v>
      </x:c>
      <x:c r="E20" s="11" t="str">
        <x:v>Dependencies resolved; Flutter test binding available.</x:v>
      </x:c>
      <x:c r="F20" s="11" t="str">
        <x:v>Local fictional fixtures and bundled assets only.</x:v>
      </x:c>
      <x:c r="G20" s="11" t="str">
        <x:v>1. Run flutter test test/chat_list_screen_test.dart.
2. Execute the testWidgets case named 'searches existing names and message content and clears'.
3. Compare assertions and captured exceptions.</x:v>
      </x:c>
      <x:c r="H20" s="11" t="str">
        <x:v>All declared assertions pass without uncaught exceptions.</x:v>
      </x:c>
      <x:c r="I20" s="11" t="str">
        <x:v>Automated assertion completed without an exception.</x:v>
      </x:c>
      <x:c r="J20" s="11" t="str">
        <x:v>Pass</x:v>
      </x:c>
      <x:c r="K20" s="11" t="str">
        <x:v>High</x:v>
      </x:c>
      <x:c r="L20" s="11" t="str"/>
      <x:c r="M20" s="11" t="str">
        <x:v>Windows 11; Flutter 3.44.6; Dart 3.12.2; widget test</x:v>
      </x:c>
      <x:c r="N20" s="11" t="str">
        <x:v>EV-TEST-001</x:v>
      </x:c>
      <x:c r="O20" s="11" t="str">
        <x:v>Executed in the complete Flutter test run.</x:v>
      </x:c>
    </x:row>
    <x:row r="21">
      <x:c r="A21" s="11" t="str">
        <x:v>AUT-020</x:v>
      </x:c>
      <x:c r="B21" s="11" t="str">
        <x:v>Chats</x:v>
      </x:c>
      <x:c r="C21" s="11" t="str">
        <x:v>unread filter uses existing unread counts</x:v>
      </x:c>
      <x:c r="D21" s="11" t="str">
        <x:v>Verify the automated contract: unread filter uses existing unread counts.</x:v>
      </x:c>
      <x:c r="E21" s="11" t="str">
        <x:v>Dependencies resolved; Flutter test binding available.</x:v>
      </x:c>
      <x:c r="F21" s="11" t="str">
        <x:v>Local fictional fixtures and bundled assets only.</x:v>
      </x:c>
      <x:c r="G21" s="11" t="str">
        <x:v>1. Run flutter test test/chat_list_screen_test.dart.
2. Execute the testWidgets case named 'unread filter uses existing unread counts'.
3. Compare assertions and captured exceptions.</x:v>
      </x:c>
      <x:c r="H21" s="11" t="str">
        <x:v>All declared assertions pass without uncaught exceptions.</x:v>
      </x:c>
      <x:c r="I21" s="11" t="str">
        <x:v>Automated assertion completed without an exception.</x:v>
      </x:c>
      <x:c r="J21" s="11" t="str">
        <x:v>Pass</x:v>
      </x:c>
      <x:c r="K21" s="11" t="str">
        <x:v>High</x:v>
      </x:c>
      <x:c r="L21" s="11" t="str"/>
      <x:c r="M21" s="11" t="str">
        <x:v>Windows 11; Flutter 3.44.6; Dart 3.12.2; widget test</x:v>
      </x:c>
      <x:c r="N21" s="11" t="str">
        <x:v>EV-UI-002; EV-TEST-001</x:v>
      </x:c>
      <x:c r="O21" s="11" t="str">
        <x:v>Executed in the complete Flutter test run.</x:v>
      </x:c>
    </x:row>
    <x:row r="22">
      <x:c r="A22" s="11" t="str">
        <x:v>AUT-021</x:v>
      </x:c>
      <x:c r="B22" s="11" t="str">
        <x:v>Chats</x:v>
      </x:c>
      <x:c r="C22" s="11" t="str">
        <x:v>conversation tap preserves the existing chat-detail route</x:v>
      </x:c>
      <x:c r="D22" s="11" t="str">
        <x:v>Verify the automated contract: conversation tap preserves the existing chat-detail route.</x:v>
      </x:c>
      <x:c r="E22" s="11" t="str">
        <x:v>Dependencies resolved; Flutter test binding available.</x:v>
      </x:c>
      <x:c r="F22" s="11" t="str">
        <x:v>Local fictional fixtures and bundled assets only.</x:v>
      </x:c>
      <x:c r="G22" s="11" t="str">
        <x:v>1. Run flutter test test/chat_list_screen_test.dart.
2. Execute the testWidgets case named 'conversation tap preserves the existing chat-detail route'.
3. Compare assertions and captured exceptions.</x:v>
      </x:c>
      <x:c r="H22" s="11" t="str">
        <x:v>All declared assertions pass without uncaught exceptions.</x:v>
      </x:c>
      <x:c r="I22" s="11" t="str">
        <x:v>Automated assertion completed without an exception.</x:v>
      </x:c>
      <x:c r="J22" s="11" t="str">
        <x:v>Pass</x:v>
      </x:c>
      <x:c r="K22" s="11" t="str">
        <x:v>High</x:v>
      </x:c>
      <x:c r="L22" s="11" t="str"/>
      <x:c r="M22" s="11" t="str">
        <x:v>Windows 11; Flutter 3.44.6; Dart 3.12.2; widget test</x:v>
      </x:c>
      <x:c r="N22" s="11" t="str">
        <x:v>EV-TEST-001</x:v>
      </x:c>
      <x:c r="O22" s="11" t="str">
        <x:v>Executed in the complete Flutter test run.</x:v>
      </x:c>
    </x:row>
    <x:row r="23">
      <x:c r="A23" s="11" t="str">
        <x:v>AUT-022</x:v>
      </x:c>
      <x:c r="B23" s="11" t="str">
        <x:v>Chats</x:v>
      </x:c>
      <x:c r="C23" s="11" t="str">
        <x:v>compose and long press expose supported conversation actions</x:v>
      </x:c>
      <x:c r="D23" s="11" t="str">
        <x:v>Verify the automated contract: compose and long press expose supported conversation actions.</x:v>
      </x:c>
      <x:c r="E23" s="11" t="str">
        <x:v>Dependencies resolved; Flutter test binding available.</x:v>
      </x:c>
      <x:c r="F23" s="11" t="str">
        <x:v>Local fictional fixtures and bundled assets only.</x:v>
      </x:c>
      <x:c r="G23" s="11" t="str">
        <x:v>1. Run flutter test test/chat_list_screen_test.dart.
2. Execute the testWidgets case named 'compose and long press expose supported conversation actions'.
3. Compare assertions and captured exceptions.</x:v>
      </x:c>
      <x:c r="H23" s="11" t="str">
        <x:v>All declared assertions pass without uncaught exceptions.</x:v>
      </x:c>
      <x:c r="I23" s="11" t="str">
        <x:v>Automated assertion completed without an exception.</x:v>
      </x:c>
      <x:c r="J23" s="11" t="str">
        <x:v>Pass</x:v>
      </x:c>
      <x:c r="K23" s="11" t="str">
        <x:v>High</x:v>
      </x:c>
      <x:c r="L23" s="11" t="str"/>
      <x:c r="M23" s="11" t="str">
        <x:v>Windows 11; Flutter 3.44.6; Dart 3.12.2; widget test</x:v>
      </x:c>
      <x:c r="N23" s="11" t="str">
        <x:v>EV-UI-006; EV-TEST-001</x:v>
      </x:c>
      <x:c r="O23" s="11" t="str">
        <x:v>Executed in the complete Flutter test run.</x:v>
      </x:c>
    </x:row>
    <x:row r="24">
      <x:c r="A24" s="11" t="str">
        <x:v>AUT-023</x:v>
      </x:c>
      <x:c r="B24" s="11" t="str">
        <x:v>Chats</x:v>
      </x:c>
      <x:c r="C24" s="11" t="str">
        <x:v>desktop inbox remains centred and constrained</x:v>
      </x:c>
      <x:c r="D24" s="11" t="str">
        <x:v>Verify the automated contract: desktop inbox remains centred and constrained.</x:v>
      </x:c>
      <x:c r="E24" s="11" t="str">
        <x:v>Dependencies resolved; Flutter test binding available.</x:v>
      </x:c>
      <x:c r="F24" s="11" t="str">
        <x:v>Local fictional fixtures and bundled assets only.</x:v>
      </x:c>
      <x:c r="G24" s="11" t="str">
        <x:v>1. Run flutter test test/chat_list_screen_test.dart.
2. Execute the testWidgets case named 'desktop inbox remains centred and constrained'.
3. Compare assertions and captured exceptions.</x:v>
      </x:c>
      <x:c r="H24" s="11" t="str">
        <x:v>All declared assertions pass without uncaught exceptions.</x:v>
      </x:c>
      <x:c r="I24" s="11" t="str">
        <x:v>Automated assertion completed without an exception.</x:v>
      </x:c>
      <x:c r="J24" s="11" t="str">
        <x:v>Pass</x:v>
      </x:c>
      <x:c r="K24" s="11" t="str">
        <x:v>High</x:v>
      </x:c>
      <x:c r="L24" s="11" t="str"/>
      <x:c r="M24" s="11" t="str">
        <x:v>Windows 11; Flutter 3.44.6; Dart 3.12.2; widget test</x:v>
      </x:c>
      <x:c r="N24" s="11" t="str">
        <x:v>EV-TEST-001</x:v>
      </x:c>
      <x:c r="O24" s="11" t="str">
        <x:v>Executed in the complete Flutter test run.</x:v>
      </x:c>
    </x:row>
    <x:row r="25">
      <x:c r="A25" s="11" t="str">
        <x:v>AUT-024</x:v>
      </x:c>
      <x:c r="B25" s="11" t="str">
        <x:v>Chats</x:v>
      </x:c>
      <x:c r="C25" s="11" t="str">
        <x:v>chat exposes only text messaging controls and sends text</x:v>
      </x:c>
      <x:c r="D25" s="11" t="str">
        <x:v>Verify the automated contract: chat exposes only text messaging controls and sends text.</x:v>
      </x:c>
      <x:c r="E25" s="11" t="str">
        <x:v>Dependencies resolved; Flutter test binding available.</x:v>
      </x:c>
      <x:c r="F25" s="11" t="str">
        <x:v>Local fictional fixtures and bundled assets only.</x:v>
      </x:c>
      <x:c r="G25" s="11" t="str">
        <x:v>1. Run flutter test test/chat_text_only_test.dart.
2. Execute the testWidgets case named 'chat exposes only text messaging controls and sends text'.
3. Compare assertions and captured exceptions.</x:v>
      </x:c>
      <x:c r="H25" s="11" t="str">
        <x:v>All declared assertions pass without uncaught exceptions.</x:v>
      </x:c>
      <x:c r="I25" s="11" t="str">
        <x:v>Automated assertion completed without an exception.</x:v>
      </x:c>
      <x:c r="J25" s="11" t="str">
        <x:v>Pass</x:v>
      </x:c>
      <x:c r="K25" s="11" t="str">
        <x:v>High</x:v>
      </x:c>
      <x:c r="L25" s="11" t="str"/>
      <x:c r="M25" s="11" t="str">
        <x:v>Windows 11; Flutter 3.44.6; Dart 3.12.2; widget test</x:v>
      </x:c>
      <x:c r="N25" s="11" t="str">
        <x:v>EV-TEST-001</x:v>
      </x:c>
      <x:c r="O25" s="11" t="str">
        <x:v>Executed in the complete Flutter test run.</x:v>
      </x:c>
    </x:row>
    <x:row r="26">
      <x:c r="A26" s="11" t="str">
        <x:v>AUT-025</x:v>
      </x:c>
      <x:c r="B26" s="11" t="str">
        <x:v>Design System</x:v>
      </x:c>
      <x:c r="C26" s="11" t="str">
        <x:v>semantic colors map directly into the Material 3 color scheme</x:v>
      </x:c>
      <x:c r="D26" s="11" t="str">
        <x:v>Verify the automated contract: semantic colors map directly into the Material 3 color scheme.</x:v>
      </x:c>
      <x:c r="E26" s="11" t="str">
        <x:v>Dependencies resolved; Flutter test binding available.</x:v>
      </x:c>
      <x:c r="F26" s="11" t="str">
        <x:v>Local fictional fixtures and bundled assets only.</x:v>
      </x:c>
      <x:c r="G26" s="11" t="str">
        <x:v>1. Run flutter test test/design_system_test.dart.
2. Execute the test case named 'semantic colors map directly into the Material 3 color scheme'.
3. Compare assertions and captured exceptions.</x:v>
      </x:c>
      <x:c r="H26" s="11" t="str">
        <x:v>All declared assertions pass without uncaught exceptions.</x:v>
      </x:c>
      <x:c r="I26" s="11" t="str">
        <x:v>Automated assertion completed without an exception.</x:v>
      </x:c>
      <x:c r="J26" s="11" t="str">
        <x:v>Pass</x:v>
      </x:c>
      <x:c r="K26" s="11" t="str">
        <x:v>Medium</x:v>
      </x:c>
      <x:c r="L26" s="11" t="str"/>
      <x:c r="M26" s="11" t="str">
        <x:v>Windows 11; Flutter 3.44.6; Dart 3.12.2; widget test</x:v>
      </x:c>
      <x:c r="N26" s="11" t="str">
        <x:v>EV-TEST-001</x:v>
      </x:c>
      <x:c r="O26" s="11" t="str">
        <x:v>Executed in the complete Flutter test run.</x:v>
      </x:c>
    </x:row>
    <x:row r="27">
      <x:c r="A27" s="11" t="str">
        <x:v>AUT-026</x:v>
      </x:c>
      <x:c r="B27" s="11" t="str">
        <x:v>Design System</x:v>
      </x:c>
      <x:c r="C27" s="11" t="str">
        <x:v>shared controls preserve accessible touch targets</x:v>
      </x:c>
      <x:c r="D27" s="11" t="str">
        <x:v>Verify the automated contract: shared controls preserve accessible touch targets.</x:v>
      </x:c>
      <x:c r="E27" s="11" t="str">
        <x:v>Dependencies resolved; Flutter test binding available.</x:v>
      </x:c>
      <x:c r="F27" s="11" t="str">
        <x:v>Local fictional fixtures and bundled assets only.</x:v>
      </x:c>
      <x:c r="G27" s="11" t="str">
        <x:v>1. Run flutter test test/design_system_test.dart.
2. Execute the testWidgets case named 'shared controls preserve accessible touch targets'.
3. Compare assertions and captured exceptions.</x:v>
      </x:c>
      <x:c r="H27" s="11" t="str">
        <x:v>All declared assertions pass without uncaught exceptions.</x:v>
      </x:c>
      <x:c r="I27" s="11" t="str">
        <x:v>Automated assertion completed without an exception.</x:v>
      </x:c>
      <x:c r="J27" s="11" t="str">
        <x:v>Pass</x:v>
      </x:c>
      <x:c r="K27" s="11" t="str">
        <x:v>Medium</x:v>
      </x:c>
      <x:c r="L27" s="11" t="str"/>
      <x:c r="M27" s="11" t="str">
        <x:v>Windows 11; Flutter 3.44.6; Dart 3.12.2; widget test</x:v>
      </x:c>
      <x:c r="N27" s="11" t="str">
        <x:v>EV-TEST-001</x:v>
      </x:c>
      <x:c r="O27" s="11" t="str">
        <x:v>Executed in the complete Flutter test run.</x:v>
      </x:c>
    </x:row>
    <x:row r="28">
      <x:c r="A28" s="11" t="str">
        <x:v>AUT-027</x:v>
      </x:c>
      <x:c r="B28" s="11" t="str">
        <x:v>Discover</x:v>
      </x:c>
      <x:c r="C28" s="11" t="str">
        <x:v>pass advances and rewind restores profile and image index</x:v>
      </x:c>
      <x:c r="D28" s="11" t="str">
        <x:v>Verify the automated contract: pass advances and rewind restores profile and image index.</x:v>
      </x:c>
      <x:c r="E28" s="11" t="str">
        <x:v>Dependencies resolved; Flutter test binding available.</x:v>
      </x:c>
      <x:c r="F28" s="11" t="str">
        <x:v>Local fictional fixtures and bundled assets only.</x:v>
      </x:c>
      <x:c r="G28" s="11" t="str">
        <x:v>1. Run flutter test test/discover_action_controller_test.dart.
2. Execute the test case named 'pass advances and rewind restores profile and image index'.
3. Compare assertions and captured exceptions.</x:v>
      </x:c>
      <x:c r="H28" s="11" t="str">
        <x:v>All declared assertions pass without uncaught exceptions.</x:v>
      </x:c>
      <x:c r="I28" s="11" t="str">
        <x:v>Automated assertion completed without an exception.</x:v>
      </x:c>
      <x:c r="J28" s="11" t="str">
        <x:v>Pass</x:v>
      </x:c>
      <x:c r="K28" s="11" t="str">
        <x:v>High</x:v>
      </x:c>
      <x:c r="L28" s="11" t="str"/>
      <x:c r="M28" s="11" t="str">
        <x:v>Windows 11; Flutter 3.44.6; Dart 3.12.2; widget test</x:v>
      </x:c>
      <x:c r="N28" s="11" t="str">
        <x:v>EV-UI-002; EV-TEST-001</x:v>
      </x:c>
      <x:c r="O28" s="11" t="str">
        <x:v>Executed in the complete Flutter test run.</x:v>
      </x:c>
    </x:row>
    <x:row r="29">
      <x:c r="A29" s="11" t="str">
        <x:v>AUT-028</x:v>
      </x:c>
      <x:c r="B29" s="11" t="str">
        <x:v>Discover</x:v>
      </x:c>
      <x:c r="C29" s="11" t="str">
        <x:v>like records local state and exposes deterministic mutual match</x:v>
      </x:c>
      <x:c r="D29" s="11" t="str">
        <x:v>Verify the automated contract: like records local state and exposes deterministic mutual match.</x:v>
      </x:c>
      <x:c r="E29" s="11" t="str">
        <x:v>Dependencies resolved; Flutter test binding available.</x:v>
      </x:c>
      <x:c r="F29" s="11" t="str">
        <x:v>Local fictional fixtures and bundled assets only.</x:v>
      </x:c>
      <x:c r="G29" s="11" t="str">
        <x:v>1. Run flutter test test/discover_action_controller_test.dart.
2. Execute the test case named 'like records local state and exposes deterministic mutual match'.
3. Compare assertions and captured exceptions.</x:v>
      </x:c>
      <x:c r="H29" s="11" t="str">
        <x:v>All declared assertions pass without uncaught exceptions.</x:v>
      </x:c>
      <x:c r="I29" s="11" t="str">
        <x:v>Automated assertion completed without an exception.</x:v>
      </x:c>
      <x:c r="J29" s="11" t="str">
        <x:v>Pass</x:v>
      </x:c>
      <x:c r="K29" s="11" t="str">
        <x:v>High</x:v>
      </x:c>
      <x:c r="L29" s="11" t="str"/>
      <x:c r="M29" s="11" t="str">
        <x:v>Windows 11; Flutter 3.44.6; Dart 3.12.2; widget test</x:v>
      </x:c>
      <x:c r="N29" s="11" t="str">
        <x:v>EV-UI-002; EV-TEST-001</x:v>
      </x:c>
      <x:c r="O29" s="11" t="str">
        <x:v>Executed in the complete Flutter test run.</x:v>
      </x:c>
    </x:row>
    <x:row r="30">
      <x:c r="A30" s="11" t="str">
        <x:v>AUT-029</x:v>
      </x:c>
      <x:c r="B30" s="11" t="str">
        <x:v>Discover</x:v>
      </x:c>
      <x:c r="C30" s="11" t="str">
        <x:v>super like advances and rapid repeated actions are guarded</x:v>
      </x:c>
      <x:c r="D30" s="11" t="str">
        <x:v>Verify the automated contract: super like advances and rapid repeated actions are guarded.</x:v>
      </x:c>
      <x:c r="E30" s="11" t="str">
        <x:v>Dependencies resolved; Flutter test binding available.</x:v>
      </x:c>
      <x:c r="F30" s="11" t="str">
        <x:v>Local fictional fixtures and bundled assets only.</x:v>
      </x:c>
      <x:c r="G30" s="11" t="str">
        <x:v>1. Run flutter test test/discover_action_controller_test.dart.
2. Execute the test case named 'super like advances and rapid repeated actions are guarded'.
3. Compare assertions and captured exceptions.</x:v>
      </x:c>
      <x:c r="H30" s="11" t="str">
        <x:v>All declared assertions pass without uncaught exceptions.</x:v>
      </x:c>
      <x:c r="I30" s="11" t="str">
        <x:v>Automated assertion completed without an exception.</x:v>
      </x:c>
      <x:c r="J30" s="11" t="str">
        <x:v>Pass</x:v>
      </x:c>
      <x:c r="K30" s="11" t="str">
        <x:v>High</x:v>
      </x:c>
      <x:c r="L30" s="11" t="str"/>
      <x:c r="M30" s="11" t="str">
        <x:v>Windows 11; Flutter 3.44.6; Dart 3.12.2; widget test</x:v>
      </x:c>
      <x:c r="N30" s="11" t="str">
        <x:v>EV-UI-002; EV-TEST-001</x:v>
      </x:c>
      <x:c r="O30" s="11" t="str">
        <x:v>Executed in the complete Flutter test run.</x:v>
      </x:c>
    </x:row>
    <x:row r="31">
      <x:c r="A31" s="11" t="str">
        <x:v>AUT-030</x:v>
      </x:c>
      <x:c r="B31" s="11" t="str">
        <x:v>Discover</x:v>
      </x:c>
      <x:c r="C31" s="11" t="str">
        <x:v>boost requests a preview without changing the deck</x:v>
      </x:c>
      <x:c r="D31" s="11" t="str">
        <x:v>Verify the automated contract: boost requests a preview without changing the deck.</x:v>
      </x:c>
      <x:c r="E31" s="11" t="str">
        <x:v>Dependencies resolved; Flutter test binding available.</x:v>
      </x:c>
      <x:c r="F31" s="11" t="str">
        <x:v>Local fictional fixtures and bundled assets only.</x:v>
      </x:c>
      <x:c r="G31" s="11" t="str">
        <x:v>1. Run flutter test test/discover_action_controller_test.dart.
2. Execute the test case named 'boost requests a preview without changing the deck'.
3. Compare assertions and captured exceptions.</x:v>
      </x:c>
      <x:c r="H31" s="11" t="str">
        <x:v>All declared assertions pass without uncaught exceptions.</x:v>
      </x:c>
      <x:c r="I31" s="11" t="str">
        <x:v>Automated assertion completed without an exception.</x:v>
      </x:c>
      <x:c r="J31" s="11" t="str">
        <x:v>Pass</x:v>
      </x:c>
      <x:c r="K31" s="11" t="str">
        <x:v>High</x:v>
      </x:c>
      <x:c r="L31" s="11" t="str"/>
      <x:c r="M31" s="11" t="str">
        <x:v>Windows 11; Flutter 3.44.6; Dart 3.12.2; widget test</x:v>
      </x:c>
      <x:c r="N31" s="11" t="str">
        <x:v>EV-UI-002; EV-TEST-001</x:v>
      </x:c>
      <x:c r="O31" s="11" t="str">
        <x:v>Executed in the complete Flutter test run.</x:v>
      </x:c>
    </x:row>
    <x:row r="32">
      <x:c r="A32" s="11" t="str">
        <x:v>AUT-031</x:v>
      </x:c>
      <x:c r="B32" s="11" t="str">
        <x:v>Discover</x:v>
      </x:c>
      <x:c r="C32" s="11" t="str">
        <x:v>deck exposes a polished empty state condition</x:v>
      </x:c>
      <x:c r="D32" s="11" t="str">
        <x:v>Verify the automated contract: deck exposes a polished empty state condition.</x:v>
      </x:c>
      <x:c r="E32" s="11" t="str">
        <x:v>Dependencies resolved; Flutter test binding available.</x:v>
      </x:c>
      <x:c r="F32" s="11" t="str">
        <x:v>Local fictional fixtures and bundled assets only.</x:v>
      </x:c>
      <x:c r="G32" s="11" t="str">
        <x:v>1. Run flutter test test/discover_action_controller_test.dart.
2. Execute the test case named 'deck exposes a polished empty state condition'.
3. Compare assertions and captured exceptions.</x:v>
      </x:c>
      <x:c r="H32" s="11" t="str">
        <x:v>All declared assertions pass without uncaught exceptions.</x:v>
      </x:c>
      <x:c r="I32" s="11" t="str">
        <x:v>Automated assertion completed without an exception.</x:v>
      </x:c>
      <x:c r="J32" s="11" t="str">
        <x:v>Pass</x:v>
      </x:c>
      <x:c r="K32" s="11" t="str">
        <x:v>High</x:v>
      </x:c>
      <x:c r="L32" s="11" t="str"/>
      <x:c r="M32" s="11" t="str">
        <x:v>Windows 11; Flutter 3.44.6; Dart 3.12.2; widget test</x:v>
      </x:c>
      <x:c r="N32" s="11" t="str">
        <x:v>EV-UI-002; EV-TEST-001</x:v>
      </x:c>
      <x:c r="O32" s="11" t="str">
        <x:v>Executed in the complete Flutter test run.</x:v>
      </x:c>
    </x:row>
    <x:row r="33">
      <x:c r="A33" s="11" t="str">
        <x:v>AUT-032</x:v>
      </x:c>
      <x:c r="B33" s="11" t="str">
        <x:v>Discover</x:v>
      </x:c>
      <x:c r="C33" s="11" t="str">
        <x:v>photo cleaning preserves order, removes blanks and duplicates</x:v>
      </x:c>
      <x:c r="D33" s="11" t="str">
        <x:v>Verify the automated contract: photo cleaning preserves order, removes blanks and duplicates.</x:v>
      </x:c>
      <x:c r="E33" s="11" t="str">
        <x:v>Dependencies resolved; Flutter test binding available.</x:v>
      </x:c>
      <x:c r="F33" s="11" t="str">
        <x:v>Local fictional fixtures and bundled assets only.</x:v>
      </x:c>
      <x:c r="G33" s="11" t="str">
        <x:v>1. Run flutter test test/discover_screen_test.dart.
2. Execute the test case named 'photo cleaning preserves order, removes blanks and duplicates'.
3. Compare assertions and captured exceptions.</x:v>
      </x:c>
      <x:c r="H33" s="11" t="str">
        <x:v>All declared assertions pass without uncaught exceptions.</x:v>
      </x:c>
      <x:c r="I33" s="11" t="str">
        <x:v>Automated assertion completed without an exception.</x:v>
      </x:c>
      <x:c r="J33" s="11" t="str">
        <x:v>Pass</x:v>
      </x:c>
      <x:c r="K33" s="11" t="str">
        <x:v>High</x:v>
      </x:c>
      <x:c r="L33" s="11" t="str"/>
      <x:c r="M33" s="11" t="str">
        <x:v>Windows 11; Flutter 3.44.6; Dart 3.12.2; widget test</x:v>
      </x:c>
      <x:c r="N33" s="11" t="str">
        <x:v>EV-UI-002; EV-TEST-001</x:v>
      </x:c>
      <x:c r="O33" s="11" t="str">
        <x:v>Executed in the complete Flutter test run.</x:v>
      </x:c>
    </x:row>
    <x:row r="34">
      <x:c r="A34" s="11" t="str">
        <x:v>AUT-033</x:v>
      </x:c>
      <x:c r="B34" s="11" t="str">
        <x:v>Discover</x:v>
      </x:c>
      <x:c r="C34" s="11" t="str">
        <x:v>renders the premium single-card hierarchy at 320px</x:v>
      </x:c>
      <x:c r="D34" s="11" t="str">
        <x:v>Verify the automated contract: renders the premium single-card hierarchy at 320px.</x:v>
      </x:c>
      <x:c r="E34" s="11" t="str">
        <x:v>Dependencies resolved; Flutter test binding available.</x:v>
      </x:c>
      <x:c r="F34" s="11" t="str">
        <x:v>Local fictional fixtures and bundled assets only.</x:v>
      </x:c>
      <x:c r="G34" s="11" t="str">
        <x:v>1. Run flutter test test/discover_screen_test.dart.
2. Execute the testWidgets case named 'renders the premium single-card hierarchy at 320px'.
3. Compare assertions and captured exceptions.</x:v>
      </x:c>
      <x:c r="H34" s="11" t="str">
        <x:v>All declared assertions pass without uncaught exceptions.</x:v>
      </x:c>
      <x:c r="I34" s="11" t="str">
        <x:v>Automated assertion completed without an exception.</x:v>
      </x:c>
      <x:c r="J34" s="11" t="str">
        <x:v>Pass</x:v>
      </x:c>
      <x:c r="K34" s="11" t="str">
        <x:v>High</x:v>
      </x:c>
      <x:c r="L34" s="11" t="str"/>
      <x:c r="M34" s="11" t="str">
        <x:v>Windows 11; Flutter 3.44.6; Dart 3.12.2; widget test</x:v>
      </x:c>
      <x:c r="N34" s="11" t="str">
        <x:v>EV-UI-002; EV-TEST-001</x:v>
      </x:c>
      <x:c r="O34" s="11" t="str">
        <x:v>Executed in the complete Flutter test run.</x:v>
      </x:c>
    </x:row>
    <x:row r="35">
      <x:c r="A35" s="11" t="str">
        <x:v>AUT-034</x:v>
      </x:c>
      <x:c r="B35" s="11" t="str">
        <x:v>Discover</x:v>
      </x:c>
      <x:c r="C35" s="11" t="str">
        <x:v>centres and constrains the portrait experience on desktop</x:v>
      </x:c>
      <x:c r="D35" s="11" t="str">
        <x:v>Verify the automated contract: centres and constrains the portrait experience on desktop.</x:v>
      </x:c>
      <x:c r="E35" s="11" t="str">
        <x:v>Dependencies resolved; Flutter test binding available.</x:v>
      </x:c>
      <x:c r="F35" s="11" t="str">
        <x:v>Local fictional fixtures and bundled assets only.</x:v>
      </x:c>
      <x:c r="G35" s="11" t="str">
        <x:v>1. Run flutter test test/discover_screen_test.dart.
2. Execute the testWidgets case named 'centres and constrains the portrait experience on desktop'.
3. Compare assertions and captured exceptions.</x:v>
      </x:c>
      <x:c r="H35" s="11" t="str">
        <x:v>All declared assertions pass without uncaught exceptions.</x:v>
      </x:c>
      <x:c r="I35" s="11" t="str">
        <x:v>Automated assertion completed without an exception.</x:v>
      </x:c>
      <x:c r="J35" s="11" t="str">
        <x:v>Pass</x:v>
      </x:c>
      <x:c r="K35" s="11" t="str">
        <x:v>High</x:v>
      </x:c>
      <x:c r="L35" s="11" t="str"/>
      <x:c r="M35" s="11" t="str">
        <x:v>Windows 11; Flutter 3.44.6; Dart 3.12.2; widget test</x:v>
      </x:c>
      <x:c r="N35" s="11" t="str">
        <x:v>EV-UI-002; EV-TEST-001</x:v>
      </x:c>
      <x:c r="O35" s="11" t="str">
        <x:v>Executed in the complete Flutter test run.</x:v>
      </x:c>
    </x:row>
    <x:row r="36">
      <x:c r="A36" s="11" t="str">
        <x:v>AUT-035</x:v>
      </x:c>
      <x:c r="B36" s="11" t="str">
        <x:v>Discover</x:v>
      </x:c>
      <x:c r="C36" s="11" t="str">
        <x:v>bottom navigation has exactly five tabs and no Home</x:v>
      </x:c>
      <x:c r="D36" s="11" t="str">
        <x:v>Verify the automated contract: bottom navigation has exactly five tabs and no Home.</x:v>
      </x:c>
      <x:c r="E36" s="11" t="str">
        <x:v>Dependencies resolved; Flutter test binding available.</x:v>
      </x:c>
      <x:c r="F36" s="11" t="str">
        <x:v>Local fictional fixtures and bundled assets only.</x:v>
      </x:c>
      <x:c r="G36" s="11" t="str">
        <x:v>1. Run flutter test test/discover_screen_test.dart.
2. Execute the testWidgets case named 'bottom navigation has exactly five tabs and no Home'.
3. Compare assertions and captured exceptions.</x:v>
      </x:c>
      <x:c r="H36" s="11" t="str">
        <x:v>All declared assertions pass without uncaught exceptions.</x:v>
      </x:c>
      <x:c r="I36" s="11" t="str">
        <x:v>Automated assertion completed without an exception.</x:v>
      </x:c>
      <x:c r="J36" s="11" t="str">
        <x:v>Pass</x:v>
      </x:c>
      <x:c r="K36" s="11" t="str">
        <x:v>High</x:v>
      </x:c>
      <x:c r="L36" s="11" t="str"/>
      <x:c r="M36" s="11" t="str">
        <x:v>Windows 11; Flutter 3.44.6; Dart 3.12.2; widget test</x:v>
      </x:c>
      <x:c r="N36" s="11" t="str">
        <x:v>EV-UI-002; EV-TEST-001</x:v>
      </x:c>
      <x:c r="O36" s="11" t="str">
        <x:v>Executed in the complete Flutter test run.</x:v>
      </x:c>
    </x:row>
    <x:row r="37">
      <x:c r="A37" s="11" t="str">
        <x:v>AUT-036</x:v>
      </x:c>
      <x:c r="B37" s="11" t="str">
        <x:v>Discover</x:v>
      </x:c>
      <x:c r="C37" s="11" t="str">
        <x:v>search and notification controls are absent from Discover</x:v>
      </x:c>
      <x:c r="D37" s="11" t="str">
        <x:v>Verify the automated contract: search and notification controls are absent from Discover.</x:v>
      </x:c>
      <x:c r="E37" s="11" t="str">
        <x:v>Dependencies resolved; Flutter test binding available.</x:v>
      </x:c>
      <x:c r="F37" s="11" t="str">
        <x:v>Local fictional fixtures and bundled assets only.</x:v>
      </x:c>
      <x:c r="G37" s="11" t="str">
        <x:v>1. Run flutter test test/discover_screen_test.dart.
2. Execute the testWidgets case named 'search and notification controls are absent from Discover'.
3. Compare assertions and captured exceptions.</x:v>
      </x:c>
      <x:c r="H37" s="11" t="str">
        <x:v>All declared assertions pass without uncaught exceptions.</x:v>
      </x:c>
      <x:c r="I37" s="11" t="str">
        <x:v>Automated assertion completed without an exception.</x:v>
      </x:c>
      <x:c r="J37" s="11" t="str">
        <x:v>Pass</x:v>
      </x:c>
      <x:c r="K37" s="11" t="str">
        <x:v>High</x:v>
      </x:c>
      <x:c r="L37" s="11" t="str"/>
      <x:c r="M37" s="11" t="str">
        <x:v>Windows 11; Flutter 3.44.6; Dart 3.12.2; widget test</x:v>
      </x:c>
      <x:c r="N37" s="11" t="str">
        <x:v>EV-UI-002; EV-TEST-001</x:v>
      </x:c>
      <x:c r="O37" s="11" t="str">
        <x:v>Executed in the complete Flutter test run.</x:v>
      </x:c>
    </x:row>
    <x:row r="38">
      <x:c r="A38" s="11" t="str">
        <x:v>AUT-037</x:v>
      </x:c>
      <x:c r="B38" s="11" t="str">
        <x:v>Discover</x:v>
      </x:c>
      <x:c r="C38" s="11" t="str">
        <x:v>filter rail is horizontal and selection filters local data</x:v>
      </x:c>
      <x:c r="D38" s="11" t="str">
        <x:v>Verify the automated contract: filter rail is horizontal and selection filters local data.</x:v>
      </x:c>
      <x:c r="E38" s="11" t="str">
        <x:v>Dependencies resolved; Flutter test binding available.</x:v>
      </x:c>
      <x:c r="F38" s="11" t="str">
        <x:v>Local fictional fixtures and bundled assets only.</x:v>
      </x:c>
      <x:c r="G38" s="11" t="str">
        <x:v>1. Run flutter test test/discover_screen_test.dart.
2. Execute the testWidgets case named 'filter rail is horizontal and selection filters local data'.
3. Compare assertions and captured exceptions.</x:v>
      </x:c>
      <x:c r="H38" s="11" t="str">
        <x:v>All declared assertions pass without uncaught exceptions.</x:v>
      </x:c>
      <x:c r="I38" s="11" t="str">
        <x:v>Automated assertion completed without an exception.</x:v>
      </x:c>
      <x:c r="J38" s="11" t="str">
        <x:v>Pass</x:v>
      </x:c>
      <x:c r="K38" s="11" t="str">
        <x:v>High</x:v>
      </x:c>
      <x:c r="L38" s="11" t="str"/>
      <x:c r="M38" s="11" t="str">
        <x:v>Windows 11; Flutter 3.44.6; Dart 3.12.2; widget test</x:v>
      </x:c>
      <x:c r="N38" s="11" t="str">
        <x:v>EV-UI-002; EV-TEST-001</x:v>
      </x:c>
      <x:c r="O38" s="11" t="str">
        <x:v>Executed in the complete Flutter test run.</x:v>
      </x:c>
    </x:row>
    <x:row r="39">
      <x:c r="A39" s="11" t="str">
        <x:v>AUT-038</x:v>
      </x:c>
      <x:c r="B39" s="11" t="str">
        <x:v>Discover</x:v>
      </x:c>
      <x:c r="C39" s="11" t="str">
        <x:v>visible Filters control opens the existing route</x:v>
      </x:c>
      <x:c r="D39" s="11" t="str">
        <x:v>Verify the automated contract: visible Filters control opens the existing route.</x:v>
      </x:c>
      <x:c r="E39" s="11" t="str">
        <x:v>Dependencies resolved; Flutter test binding available.</x:v>
      </x:c>
      <x:c r="F39" s="11" t="str">
        <x:v>Local fictional fixtures and bundled assets only.</x:v>
      </x:c>
      <x:c r="G39" s="11" t="str">
        <x:v>1. Run flutter test test/discover_screen_test.dart.
2. Execute the testWidgets case named 'visible Filters control opens the existing route'.
3. Compare assertions and captured exceptions.</x:v>
      </x:c>
      <x:c r="H39" s="11" t="str">
        <x:v>All declared assertions pass without uncaught exceptions.</x:v>
      </x:c>
      <x:c r="I39" s="11" t="str">
        <x:v>Automated assertion completed without an exception.</x:v>
      </x:c>
      <x:c r="J39" s="11" t="str">
        <x:v>Pass</x:v>
      </x:c>
      <x:c r="K39" s="11" t="str">
        <x:v>High</x:v>
      </x:c>
      <x:c r="L39" s="11" t="str"/>
      <x:c r="M39" s="11" t="str">
        <x:v>Windows 11; Flutter 3.44.6; Dart 3.12.2; widget test</x:v>
      </x:c>
      <x:c r="N39" s="11" t="str">
        <x:v>EV-UI-002; EV-TEST-001</x:v>
      </x:c>
      <x:c r="O39" s="11" t="str">
        <x:v>Executed in the complete Flutter test run.</x:v>
      </x:c>
    </x:row>
    <x:row r="40">
      <x:c r="A40" s="11" t="str">
        <x:v>AUT-039</x:v>
      </x:c>
      <x:c r="B40" s="11" t="str">
        <x:v>Discover</x:v>
      </x:c>
      <x:c r="C40" s="11" t="str">
        <x:v>Profile notification control opens the existing route</x:v>
      </x:c>
      <x:c r="D40" s="11" t="str">
        <x:v>Verify the automated contract: Profile notification control opens the existing route.</x:v>
      </x:c>
      <x:c r="E40" s="11" t="str">
        <x:v>Dependencies resolved; Flutter test binding available.</x:v>
      </x:c>
      <x:c r="F40" s="11" t="str">
        <x:v>Local fictional fixtures and bundled assets only.</x:v>
      </x:c>
      <x:c r="G40" s="11" t="str">
        <x:v>1. Run flutter test test/discover_screen_test.dart.
2. Execute the testWidgets case named 'Profile notification control opens the existing route'.
3. Compare assertions and captured exceptions.</x:v>
      </x:c>
      <x:c r="H40" s="11" t="str">
        <x:v>All declared assertions pass without uncaught exceptions.</x:v>
      </x:c>
      <x:c r="I40" s="11" t="str">
        <x:v>Automated assertion completed without an exception.</x:v>
      </x:c>
      <x:c r="J40" s="11" t="str">
        <x:v>Pass</x:v>
      </x:c>
      <x:c r="K40" s="11" t="str">
        <x:v>High</x:v>
      </x:c>
      <x:c r="L40" s="11" t="str"/>
      <x:c r="M40" s="11" t="str">
        <x:v>Windows 11; Flutter 3.44.6; Dart 3.12.2; widget test</x:v>
      </x:c>
      <x:c r="N40" s="11" t="str">
        <x:v>EV-UI-002; EV-TEST-001</x:v>
      </x:c>
      <x:c r="O40" s="11" t="str">
        <x:v>Executed in the complete Flutter test run.</x:v>
      </x:c>
    </x:row>
    <x:row r="41">
      <x:c r="A41" s="11" t="str">
        <x:v>AUT-040</x:v>
      </x:c>
      <x:c r="B41" s="11" t="str">
        <x:v>Discover</x:v>
      </x:c>
      <x:c r="C41" s="11" t="str">
        <x:v>card opens profile detail with a named Hero route</x:v>
      </x:c>
      <x:c r="D41" s="11" t="str">
        <x:v>Verify the automated contract: card opens profile detail with a named Hero route.</x:v>
      </x:c>
      <x:c r="E41" s="11" t="str">
        <x:v>Dependencies resolved; Flutter test binding available.</x:v>
      </x:c>
      <x:c r="F41" s="11" t="str">
        <x:v>Local fictional fixtures and bundled assets only.</x:v>
      </x:c>
      <x:c r="G41" s="11" t="str">
        <x:v>1. Run flutter test test/discover_screen_test.dart.
2. Execute the testWidgets case named 'card opens profile detail with a named Hero route'.
3. Compare assertions and captured exceptions.</x:v>
      </x:c>
      <x:c r="H41" s="11" t="str">
        <x:v>All declared assertions pass without uncaught exceptions.</x:v>
      </x:c>
      <x:c r="I41" s="11" t="str">
        <x:v>Automated assertion completed without an exception.</x:v>
      </x:c>
      <x:c r="J41" s="11" t="str">
        <x:v>Pass</x:v>
      </x:c>
      <x:c r="K41" s="11" t="str">
        <x:v>High</x:v>
      </x:c>
      <x:c r="L41" s="11" t="str"/>
      <x:c r="M41" s="11" t="str">
        <x:v>Windows 11; Flutter 3.44.6; Dart 3.12.2; widget test</x:v>
      </x:c>
      <x:c r="N41" s="11" t="str">
        <x:v>EV-UI-002; EV-TEST-001</x:v>
      </x:c>
      <x:c r="O41" s="11" t="str">
        <x:v>Executed in the complete Flutter test run.</x:v>
      </x:c>
    </x:row>
    <x:row r="42">
      <x:c r="A42" s="11" t="str">
        <x:v>AUT-041</x:v>
      </x:c>
      <x:c r="B42" s="11" t="str">
        <x:v>Discover</x:v>
      </x:c>
      <x:c r="C42" s="11" t="str">
        <x:v>gallery uses unique photos, tap zones, and progress segments</x:v>
      </x:c>
      <x:c r="D42" s="11" t="str">
        <x:v>Verify the automated contract: gallery uses unique photos, tap zones, and progress segments.</x:v>
      </x:c>
      <x:c r="E42" s="11" t="str">
        <x:v>Dependencies resolved; Flutter test binding available.</x:v>
      </x:c>
      <x:c r="F42" s="11" t="str">
        <x:v>Local fictional fixtures and bundled assets only.</x:v>
      </x:c>
      <x:c r="G42" s="11" t="str">
        <x:v>1. Run flutter test test/discover_screen_test.dart.
2. Execute the testWidgets case named 'gallery uses unique photos, tap zones, and progress segments'.
3. Compare assertions and captured exceptions.</x:v>
      </x:c>
      <x:c r="H42" s="11" t="str">
        <x:v>All declared assertions pass without uncaught exceptions.</x:v>
      </x:c>
      <x:c r="I42" s="11" t="str">
        <x:v>Automated assertion completed without an exception.</x:v>
      </x:c>
      <x:c r="J42" s="11" t="str">
        <x:v>Pass</x:v>
      </x:c>
      <x:c r="K42" s="11" t="str">
        <x:v>High</x:v>
      </x:c>
      <x:c r="L42" s="11" t="str"/>
      <x:c r="M42" s="11" t="str">
        <x:v>Windows 11; Flutter 3.44.6; Dart 3.12.2; widget test</x:v>
      </x:c>
      <x:c r="N42" s="11" t="str">
        <x:v>EV-UI-002; EV-TEST-001</x:v>
      </x:c>
      <x:c r="O42" s="11" t="str">
        <x:v>Executed in the complete Flutter test run.</x:v>
      </x:c>
    </x:row>
    <x:row r="43">
      <x:c r="A43" s="11" t="str">
        <x:v>AUT-042</x:v>
      </x:c>
      <x:c r="B43" s="11" t="str">
        <x:v>Discover</x:v>
      </x:c>
      <x:c r="C43" s="11" t="str">
        <x:v>vertical and vertical-dominant drags never move or dismiss</x:v>
      </x:c>
      <x:c r="D43" s="11" t="str">
        <x:v>Verify the automated contract: vertical and vertical-dominant drags never move or dismiss.</x:v>
      </x:c>
      <x:c r="E43" s="11" t="str">
        <x:v>Dependencies resolved; Flutter test binding available.</x:v>
      </x:c>
      <x:c r="F43" s="11" t="str">
        <x:v>Local fictional fixtures and bundled assets only.</x:v>
      </x:c>
      <x:c r="G43" s="11" t="str">
        <x:v>1. Run flutter test test/discover_screen_test.dart.
2. Execute the testWidgets case named 'vertical and vertical-dominant drags never move or dismiss'.
3. Compare assertions and captured exceptions.</x:v>
      </x:c>
      <x:c r="H43" s="11" t="str">
        <x:v>All declared assertions pass without uncaught exceptions.</x:v>
      </x:c>
      <x:c r="I43" s="11" t="str">
        <x:v>Automated assertion completed without an exception.</x:v>
      </x:c>
      <x:c r="J43" s="11" t="str">
        <x:v>Pass</x:v>
      </x:c>
      <x:c r="K43" s="11" t="str">
        <x:v>High</x:v>
      </x:c>
      <x:c r="L43" s="11" t="str"/>
      <x:c r="M43" s="11" t="str">
        <x:v>Windows 11; Flutter 3.44.6; Dart 3.12.2; widget test</x:v>
      </x:c>
      <x:c r="N43" s="11" t="str">
        <x:v>EV-UI-002; EV-TEST-001</x:v>
      </x:c>
      <x:c r="O43" s="11" t="str">
        <x:v>Executed in the complete Flutter test run.</x:v>
      </x:c>
    </x:row>
    <x:row r="44">
      <x:c r="A44" s="11" t="str">
        <x:v>AUT-043</x:v>
      </x:c>
      <x:c r="B44" s="11" t="str">
        <x:v>Discover</x:v>
      </x:c>
      <x:c r="C44" s="11" t="str">
        <x:v>horizontal-dominant diagonal drag remains X-only</x:v>
      </x:c>
      <x:c r="D44" s="11" t="str">
        <x:v>Verify the automated contract: horizontal-dominant diagonal drag remains X-only.</x:v>
      </x:c>
      <x:c r="E44" s="11" t="str">
        <x:v>Dependencies resolved; Flutter test binding available.</x:v>
      </x:c>
      <x:c r="F44" s="11" t="str">
        <x:v>Local fictional fixtures and bundled assets only.</x:v>
      </x:c>
      <x:c r="G44" s="11" t="str">
        <x:v>1. Run flutter test test/discover_screen_test.dart.
2. Execute the testWidgets case named 'horizontal-dominant diagonal drag remains X-only'.
3. Compare assertions and captured exceptions.</x:v>
      </x:c>
      <x:c r="H44" s="11" t="str">
        <x:v>All declared assertions pass without uncaught exceptions.</x:v>
      </x:c>
      <x:c r="I44" s="11" t="str">
        <x:v>Automated assertion completed without an exception.</x:v>
      </x:c>
      <x:c r="J44" s="11" t="str">
        <x:v>Pass</x:v>
      </x:c>
      <x:c r="K44" s="11" t="str">
        <x:v>High</x:v>
      </x:c>
      <x:c r="L44" s="11" t="str"/>
      <x:c r="M44" s="11" t="str">
        <x:v>Windows 11; Flutter 3.44.6; Dart 3.12.2; widget test</x:v>
      </x:c>
      <x:c r="N44" s="11" t="str">
        <x:v>EV-UI-002; EV-TEST-001</x:v>
      </x:c>
      <x:c r="O44" s="11" t="str">
        <x:v>Executed in the complete Flutter test run.</x:v>
      </x:c>
    </x:row>
    <x:row r="45">
      <x:c r="A45" s="11" t="str">
        <x:v>AUT-044</x:v>
      </x:c>
      <x:c r="B45" s="11" t="str">
        <x:v>Discover</x:v>
      </x:c>
      <x:c r="C45" s="11" t="str">
        <x:v>small drags spring back and left swipes advance once</x:v>
      </x:c>
      <x:c r="D45" s="11" t="str">
        <x:v>Verify the automated contract: small drags spring back and left swipes advance once.</x:v>
      </x:c>
      <x:c r="E45" s="11" t="str">
        <x:v>Dependencies resolved; Flutter test binding available.</x:v>
      </x:c>
      <x:c r="F45" s="11" t="str">
        <x:v>Local fictional fixtures and bundled assets only.</x:v>
      </x:c>
      <x:c r="G45" s="11" t="str">
        <x:v>1. Run flutter test test/discover_screen_test.dart.
2. Execute the testWidgets case named 'small drags spring back and left swipes advance once'.
3. Compare assertions and captured exceptions.</x:v>
      </x:c>
      <x:c r="H45" s="11" t="str">
        <x:v>All declared assertions pass without uncaught exceptions.</x:v>
      </x:c>
      <x:c r="I45" s="11" t="str">
        <x:v>Automated assertion completed without an exception.</x:v>
      </x:c>
      <x:c r="J45" s="11" t="str">
        <x:v>Pass</x:v>
      </x:c>
      <x:c r="K45" s="11" t="str">
        <x:v>High</x:v>
      </x:c>
      <x:c r="L45" s="11" t="str"/>
      <x:c r="M45" s="11" t="str">
        <x:v>Windows 11; Flutter 3.44.6; Dart 3.12.2; widget test</x:v>
      </x:c>
      <x:c r="N45" s="11" t="str">
        <x:v>EV-UI-002; EV-TEST-001</x:v>
      </x:c>
      <x:c r="O45" s="11" t="str">
        <x:v>Executed in the complete Flutter test run.</x:v>
      </x:c>
    </x:row>
    <x:row r="46">
      <x:c r="A46" s="11" t="str">
        <x:v>AUT-045</x:v>
      </x:c>
      <x:c r="B46" s="11" t="str">
        <x:v>Discover</x:v>
      </x:c>
      <x:c r="C46" s="11" t="str">
        <x:v>fast short horizontal flings dismiss in either direction</x:v>
      </x:c>
      <x:c r="D46" s="11" t="str">
        <x:v>Verify the automated contract: fast short horizontal flings dismiss in either direction.</x:v>
      </x:c>
      <x:c r="E46" s="11" t="str">
        <x:v>Dependencies resolved; Flutter test binding available.</x:v>
      </x:c>
      <x:c r="F46" s="11" t="str">
        <x:v>Local fictional fixtures and bundled assets only.</x:v>
      </x:c>
      <x:c r="G46" s="11" t="str">
        <x:v>1. Run flutter test test/discover_screen_test.dart.
2. Execute the testWidgets case named 'fast short horizontal flings dismiss in either direction'.
3. Compare assertions and captured exceptions.</x:v>
      </x:c>
      <x:c r="H46" s="11" t="str">
        <x:v>All declared assertions pass without uncaught exceptions.</x:v>
      </x:c>
      <x:c r="I46" s="11" t="str">
        <x:v>Automated assertion completed without an exception.</x:v>
      </x:c>
      <x:c r="J46" s="11" t="str">
        <x:v>Pass</x:v>
      </x:c>
      <x:c r="K46" s="11" t="str">
        <x:v>High</x:v>
      </x:c>
      <x:c r="L46" s="11" t="str"/>
      <x:c r="M46" s="11" t="str">
        <x:v>Windows 11; Flutter 3.44.6; Dart 3.12.2; widget test</x:v>
      </x:c>
      <x:c r="N46" s="11" t="str">
        <x:v>EV-UI-002; EV-TEST-001</x:v>
      </x:c>
      <x:c r="O46" s="11" t="str">
        <x:v>Executed in the complete Flutter test run.</x:v>
      </x:c>
    </x:row>
    <x:row r="47">
      <x:c r="A47" s="11" t="str">
        <x:v>AUT-046</x:v>
      </x:c>
      <x:c r="B47" s="11" t="str">
        <x:v>Discover</x:v>
      </x:c>
      <x:c r="C47" s="11" t="str">
        <x:v>slow right drag and Pass button use the existing actions</x:v>
      </x:c>
      <x:c r="D47" s="11" t="str">
        <x:v>Verify the automated contract: slow right drag and Pass button use the existing actions.</x:v>
      </x:c>
      <x:c r="E47" s="11" t="str">
        <x:v>Dependencies resolved; Flutter test binding available.</x:v>
      </x:c>
      <x:c r="F47" s="11" t="str">
        <x:v>Local fictional fixtures and bundled assets only.</x:v>
      </x:c>
      <x:c r="G47" s="11" t="str">
        <x:v>1. Run flutter test test/discover_screen_test.dart.
2. Execute the testWidgets case named 'slow right drag and Pass button use the existing actions'.
3. Compare assertions and captured exceptions.</x:v>
      </x:c>
      <x:c r="H47" s="11" t="str">
        <x:v>All declared assertions pass without uncaught exceptions.</x:v>
      </x:c>
      <x:c r="I47" s="11" t="str">
        <x:v>Automated assertion completed without an exception.</x:v>
      </x:c>
      <x:c r="J47" s="11" t="str">
        <x:v>Pass</x:v>
      </x:c>
      <x:c r="K47" s="11" t="str">
        <x:v>High</x:v>
      </x:c>
      <x:c r="L47" s="11" t="str"/>
      <x:c r="M47" s="11" t="str">
        <x:v>Windows 11; Flutter 3.44.6; Dart 3.12.2; widget test</x:v>
      </x:c>
      <x:c r="N47" s="11" t="str">
        <x:v>EV-UI-002; EV-TEST-001</x:v>
      </x:c>
      <x:c r="O47" s="11" t="str">
        <x:v>Executed in the complete Flutter test run.</x:v>
      </x:c>
    </x:row>
    <x:row r="48">
      <x:c r="A48" s="11" t="str">
        <x:v>AUT-047</x:v>
      </x:c>
      <x:c r="B48" s="11" t="str">
        <x:v>Discover</x:v>
      </x:c>
      <x:c r="C48" s="11" t="str">
        <x:v>floating Like and Undo actions reuse the swipe sequence</x:v>
      </x:c>
      <x:c r="D48" s="11" t="str">
        <x:v>Verify the automated contract: floating Like and Undo actions reuse the swipe sequence.</x:v>
      </x:c>
      <x:c r="E48" s="11" t="str">
        <x:v>Dependencies resolved; Flutter test binding available.</x:v>
      </x:c>
      <x:c r="F48" s="11" t="str">
        <x:v>Local fictional fixtures and bundled assets only.</x:v>
      </x:c>
      <x:c r="G48" s="11" t="str">
        <x:v>1. Run flutter test test/discover_screen_test.dart.
2. Execute the testWidgets case named 'floating Like and Undo actions reuse the swipe sequence'.
3. Compare assertions and captured exceptions.</x:v>
      </x:c>
      <x:c r="H48" s="11" t="str">
        <x:v>All declared assertions pass without uncaught exceptions.</x:v>
      </x:c>
      <x:c r="I48" s="11" t="str">
        <x:v>Automated assertion completed without an exception.</x:v>
      </x:c>
      <x:c r="J48" s="11" t="str">
        <x:v>Pass</x:v>
      </x:c>
      <x:c r="K48" s="11" t="str">
        <x:v>High</x:v>
      </x:c>
      <x:c r="L48" s="11" t="str"/>
      <x:c r="M48" s="11" t="str">
        <x:v>Windows 11; Flutter 3.44.6; Dart 3.12.2; widget test</x:v>
      </x:c>
      <x:c r="N48" s="11" t="str">
        <x:v>EV-UI-002; EV-TEST-001</x:v>
      </x:c>
      <x:c r="O48" s="11" t="str">
        <x:v>Executed in the complete Flutter test run.</x:v>
      </x:c>
    </x:row>
    <x:row r="49">
      <x:c r="A49" s="11" t="str">
        <x:v>AUT-048</x:v>
      </x:c>
      <x:c r="B49" s="11" t="str">
        <x:v>Discover</x:v>
      </x:c>
      <x:c r="C49" s="11" t="str">
        <x:v>Super Like sends directly without opening a route</x:v>
      </x:c>
      <x:c r="D49" s="11" t="str">
        <x:v>Verify the automated contract: Super Like sends directly without opening a route.</x:v>
      </x:c>
      <x:c r="E49" s="11" t="str">
        <x:v>Dependencies resolved; Flutter test binding available.</x:v>
      </x:c>
      <x:c r="F49" s="11" t="str">
        <x:v>Local fictional fixtures and bundled assets only.</x:v>
      </x:c>
      <x:c r="G49" s="11" t="str">
        <x:v>1. Run flutter test test/discover_screen_test.dart.
2. Execute the testWidgets case named 'Super Like sends directly without opening a route'.
3. Compare assertions and captured exceptions.</x:v>
      </x:c>
      <x:c r="H49" s="11" t="str">
        <x:v>All declared assertions pass without uncaught exceptions.</x:v>
      </x:c>
      <x:c r="I49" s="11" t="str">
        <x:v>Automated assertion completed without an exception.</x:v>
      </x:c>
      <x:c r="J49" s="11" t="str">
        <x:v>Pass</x:v>
      </x:c>
      <x:c r="K49" s="11" t="str">
        <x:v>High</x:v>
      </x:c>
      <x:c r="L49" s="11" t="str"/>
      <x:c r="M49" s="11" t="str">
        <x:v>Windows 11; Flutter 3.44.6; Dart 3.12.2; widget test</x:v>
      </x:c>
      <x:c r="N49" s="11" t="str">
        <x:v>EV-UI-002; EV-TEST-001</x:v>
      </x:c>
      <x:c r="O49" s="11" t="str">
        <x:v>Executed in the complete Flutter test run.</x:v>
      </x:c>
    </x:row>
    <x:row r="50">
      <x:c r="A50" s="11" t="str">
        <x:v>AUT-049</x:v>
      </x:c>
      <x:c r="B50" s="11" t="str">
        <x:v>Discover</x:v>
      </x:c>
      <x:c r="C50" s="11" t="str">
        <x:v>filtered profiles reach and restart the end state safely</x:v>
      </x:c>
      <x:c r="D50" s="11" t="str">
        <x:v>Verify the automated contract: filtered profiles reach and restart the end state safely.</x:v>
      </x:c>
      <x:c r="E50" s="11" t="str">
        <x:v>Dependencies resolved; Flutter test binding available.</x:v>
      </x:c>
      <x:c r="F50" s="11" t="str">
        <x:v>Local fictional fixtures and bundled assets only.</x:v>
      </x:c>
      <x:c r="G50" s="11" t="str">
        <x:v>1. Run flutter test test/discover_screen_test.dart.
2. Execute the testWidgets case named 'filtered profiles reach and restart the end state safely'.
3. Compare assertions and captured exceptions.</x:v>
      </x:c>
      <x:c r="H50" s="11" t="str">
        <x:v>All declared assertions pass without uncaught exceptions.</x:v>
      </x:c>
      <x:c r="I50" s="11" t="str">
        <x:v>Automated assertion completed without an exception.</x:v>
      </x:c>
      <x:c r="J50" s="11" t="str">
        <x:v>Pass</x:v>
      </x:c>
      <x:c r="K50" s="11" t="str">
        <x:v>High</x:v>
      </x:c>
      <x:c r="L50" s="11" t="str"/>
      <x:c r="M50" s="11" t="str">
        <x:v>Windows 11; Flutter 3.44.6; Dart 3.12.2; widget test</x:v>
      </x:c>
      <x:c r="N50" s="11" t="str">
        <x:v>EV-UI-002; EV-TEST-001</x:v>
      </x:c>
      <x:c r="O50" s="11" t="str">
        <x:v>Executed in the complete Flutter test run.</x:v>
      </x:c>
    </x:row>
    <x:row r="51">
      <x:c r="A51" s="11" t="str">
        <x:v>AUT-050</x:v>
      </x:c>
      <x:c r="B51" s="11" t="str">
        <x:v>Events</x:v>
      </x:c>
      <x:c r="C51" s="11" t="str">
        <x:v>all local event assets load and core events map uniquely</x:v>
      </x:c>
      <x:c r="D51" s="11" t="str">
        <x:v>Verify the automated contract: all local event assets load and core events map uniquely.</x:v>
      </x:c>
      <x:c r="E51" s="11" t="str">
        <x:v>Dependencies resolved; Flutter test binding available.</x:v>
      </x:c>
      <x:c r="F51" s="11" t="str">
        <x:v>Local fictional fixtures and bundled assets only.</x:v>
      </x:c>
      <x:c r="G51" s="11" t="str">
        <x:v>1. Run flutter test test/events_experience_test.dart.
2. Execute the testWidgets case named 'all local event assets load and core events map uniquely'.
3. Compare assertions and captured exceptions.</x:v>
      </x:c>
      <x:c r="H51" s="11" t="str">
        <x:v>All declared assertions pass without uncaught exceptions.</x:v>
      </x:c>
      <x:c r="I51" s="11" t="str">
        <x:v>Automated assertion completed without an exception.</x:v>
      </x:c>
      <x:c r="J51" s="11" t="str">
        <x:v>Pass</x:v>
      </x:c>
      <x:c r="K51" s="11" t="str">
        <x:v>High</x:v>
      </x:c>
      <x:c r="L51" s="11" t="str"/>
      <x:c r="M51" s="11" t="str">
        <x:v>Windows 11; Flutter 3.44.6; Dart 3.12.2; widget test</x:v>
      </x:c>
      <x:c r="N51" s="11" t="str">
        <x:v>EV-UI-003; EV-UI-007; EV-TEST-001</x:v>
      </x:c>
      <x:c r="O51" s="11" t="str">
        <x:v>Executed in the complete Flutter test run.</x:v>
      </x:c>
    </x:row>
    <x:row r="52">
      <x:c r="A52" s="11" t="str">
        <x:v>AUT-051</x:v>
      </x:c>
      <x:c r="B52" s="11" t="str">
        <x:v>Events</x:v>
      </x:c>
      <x:c r="C52" s="11" t="str">
        <x:v>events render directly without a membership purchase gate</x:v>
      </x:c>
      <x:c r="D52" s="11" t="str">
        <x:v>Verify the automated contract: events render directly without a membership purchase gate.</x:v>
      </x:c>
      <x:c r="E52" s="11" t="str">
        <x:v>Dependencies resolved; Flutter test binding available.</x:v>
      </x:c>
      <x:c r="F52" s="11" t="str">
        <x:v>Local fictional fixtures and bundled assets only.</x:v>
      </x:c>
      <x:c r="G52" s="11" t="str">
        <x:v>1. Run flutter test test/events_experience_test.dart.
2. Execute the testWidgets case named 'events render directly without a membership purchase gate'.
3. Compare assertions and captured exceptions.</x:v>
      </x:c>
      <x:c r="H52" s="11" t="str">
        <x:v>All declared assertions pass without uncaught exceptions.</x:v>
      </x:c>
      <x:c r="I52" s="11" t="str">
        <x:v>Automated assertion completed without an exception.</x:v>
      </x:c>
      <x:c r="J52" s="11" t="str">
        <x:v>Pass</x:v>
      </x:c>
      <x:c r="K52" s="11" t="str">
        <x:v>High</x:v>
      </x:c>
      <x:c r="L52" s="11" t="str"/>
      <x:c r="M52" s="11" t="str">
        <x:v>Windows 11; Flutter 3.44.6; Dart 3.12.2; widget test</x:v>
      </x:c>
      <x:c r="N52" s="11" t="str">
        <x:v>EV-UI-003; EV-UI-007; EV-TEST-001</x:v>
      </x:c>
      <x:c r="O52" s="11" t="str">
        <x:v>Executed in the complete Flutter test run.</x:v>
      </x:c>
    </x:row>
    <x:row r="53">
      <x:c r="A53" s="11" t="str">
        <x:v>AUT-052</x:v>
      </x:c>
      <x:c r="B53" s="11" t="str">
        <x:v>Events</x:v>
      </x:c>
      <x:c r="C53" s="11" t="str">
        <x:v>member feed renders discovery and supported RSVP states</x:v>
      </x:c>
      <x:c r="D53" s="11" t="str">
        <x:v>Verify the automated contract: member feed renders discovery and supported RSVP states.</x:v>
      </x:c>
      <x:c r="E53" s="11" t="str">
        <x:v>Dependencies resolved; Flutter test binding available.</x:v>
      </x:c>
      <x:c r="F53" s="11" t="str">
        <x:v>Local fictional fixtures and bundled assets only.</x:v>
      </x:c>
      <x:c r="G53" s="11" t="str">
        <x:v>1. Run flutter test test/events_experience_test.dart.
2. Execute the testWidgets case named 'member feed renders discovery and supported RSVP states'.
3. Compare assertions and captured exceptions.</x:v>
      </x:c>
      <x:c r="H53" s="11" t="str">
        <x:v>All declared assertions pass without uncaught exceptions.</x:v>
      </x:c>
      <x:c r="I53" s="11" t="str">
        <x:v>Automated assertion completed without an exception.</x:v>
      </x:c>
      <x:c r="J53" s="11" t="str">
        <x:v>Pass</x:v>
      </x:c>
      <x:c r="K53" s="11" t="str">
        <x:v>High</x:v>
      </x:c>
      <x:c r="L53" s="11" t="str"/>
      <x:c r="M53" s="11" t="str">
        <x:v>Windows 11; Flutter 3.44.6; Dart 3.12.2; widget test</x:v>
      </x:c>
      <x:c r="N53" s="11" t="str">
        <x:v>EV-UI-002; EV-TEST-001</x:v>
      </x:c>
      <x:c r="O53" s="11" t="str">
        <x:v>Executed in the complete Flutter test run.</x:v>
      </x:c>
    </x:row>
    <x:row r="54">
      <x:c r="A54" s="11" t="str">
        <x:v>AUT-053</x:v>
      </x:c>
      <x:c r="B54" s="11" t="str">
        <x:v>Events</x:v>
      </x:c>
      <x:c r="C54" s="11" t="str">
        <x:v>category selection updates with animated selected state</x:v>
      </x:c>
      <x:c r="D54" s="11" t="str">
        <x:v>Verify the automated contract: category selection updates with animated selected state.</x:v>
      </x:c>
      <x:c r="E54" s="11" t="str">
        <x:v>Dependencies resolved; Flutter test binding available.</x:v>
      </x:c>
      <x:c r="F54" s="11" t="str">
        <x:v>Local fictional fixtures and bundled assets only.</x:v>
      </x:c>
      <x:c r="G54" s="11" t="str">
        <x:v>1. Run flutter test test/events_experience_test.dart.
2. Execute the testWidgets case named 'category selection updates with animated selected state'.
3. Compare assertions and captured exceptions.</x:v>
      </x:c>
      <x:c r="H54" s="11" t="str">
        <x:v>All declared assertions pass without uncaught exceptions.</x:v>
      </x:c>
      <x:c r="I54" s="11" t="str">
        <x:v>Automated assertion completed without an exception.</x:v>
      </x:c>
      <x:c r="J54" s="11" t="str">
        <x:v>Pass</x:v>
      </x:c>
      <x:c r="K54" s="11" t="str">
        <x:v>High</x:v>
      </x:c>
      <x:c r="L54" s="11" t="str"/>
      <x:c r="M54" s="11" t="str">
        <x:v>Windows 11; Flutter 3.44.6; Dart 3.12.2; widget test</x:v>
      </x:c>
      <x:c r="N54" s="11" t="str">
        <x:v>EV-UI-003; EV-UI-007; EV-TEST-001</x:v>
      </x:c>
      <x:c r="O54" s="11" t="str">
        <x:v>Executed in the complete Flutter test run.</x:v>
      </x:c>
    </x:row>
    <x:row r="55">
      <x:c r="A55" s="11" t="str">
        <x:v>AUT-054</x:v>
      </x:c>
      <x:c r="B55" s="11" t="str">
        <x:v>Events</x:v>
      </x:c>
      <x:c r="C55" s="11" t="str">
        <x:v>event detail opens directly without membership access UI</x:v>
      </x:c>
      <x:c r="D55" s="11" t="str">
        <x:v>Verify the automated contract: event detail opens directly without membership access UI.</x:v>
      </x:c>
      <x:c r="E55" s="11" t="str">
        <x:v>Dependencies resolved; Flutter test binding available.</x:v>
      </x:c>
      <x:c r="F55" s="11" t="str">
        <x:v>Local fictional fixtures and bundled assets only.</x:v>
      </x:c>
      <x:c r="G55" s="11" t="str">
        <x:v>1. Run flutter test test/events_experience_test.dart.
2. Execute the testWidgets case named 'event detail opens directly without membership access UI'.
3. Compare assertions and captured exceptions.</x:v>
      </x:c>
      <x:c r="H55" s="11" t="str">
        <x:v>All declared assertions pass without uncaught exceptions.</x:v>
      </x:c>
      <x:c r="I55" s="11" t="str">
        <x:v>Automated assertion completed without an exception.</x:v>
      </x:c>
      <x:c r="J55" s="11" t="str">
        <x:v>Pass</x:v>
      </x:c>
      <x:c r="K55" s="11" t="str">
        <x:v>High</x:v>
      </x:c>
      <x:c r="L55" s="11" t="str"/>
      <x:c r="M55" s="11" t="str">
        <x:v>Windows 11; Flutter 3.44.6; Dart 3.12.2; widget test</x:v>
      </x:c>
      <x:c r="N55" s="11" t="str">
        <x:v>EV-UI-004; EV-TEST-001</x:v>
      </x:c>
      <x:c r="O55" s="11" t="str">
        <x:v>Executed in the complete Flutter test run.</x:v>
      </x:c>
    </x:row>
    <x:row r="56">
      <x:c r="A56" s="11" t="str">
        <x:v>AUT-055</x:v>
      </x:c>
      <x:c r="B56" s="11" t="str">
        <x:v>Events</x:v>
      </x:c>
      <x:c r="C56" s="11" t="str">
        <x:v>event detail transitions from skeleton to immersive sections</x:v>
      </x:c>
      <x:c r="D56" s="11" t="str">
        <x:v>Verify the automated contract: event detail transitions from skeleton to immersive sections.</x:v>
      </x:c>
      <x:c r="E56" s="11" t="str">
        <x:v>Dependencies resolved; Flutter test binding available.</x:v>
      </x:c>
      <x:c r="F56" s="11" t="str">
        <x:v>Local fictional fixtures and bundled assets only.</x:v>
      </x:c>
      <x:c r="G56" s="11" t="str">
        <x:v>1. Run flutter test test/events_experience_test.dart.
2. Execute the testWidgets case named 'event detail transitions from skeleton to immersive sections'.
3. Compare assertions and captured exceptions.</x:v>
      </x:c>
      <x:c r="H56" s="11" t="str">
        <x:v>All declared assertions pass without uncaught exceptions.</x:v>
      </x:c>
      <x:c r="I56" s="11" t="str">
        <x:v>Automated assertion completed without an exception.</x:v>
      </x:c>
      <x:c r="J56" s="11" t="str">
        <x:v>Pass</x:v>
      </x:c>
      <x:c r="K56" s="11" t="str">
        <x:v>High</x:v>
      </x:c>
      <x:c r="L56" s="11" t="str"/>
      <x:c r="M56" s="11" t="str">
        <x:v>Windows 11; Flutter 3.44.6; Dart 3.12.2; widget test</x:v>
      </x:c>
      <x:c r="N56" s="11" t="str">
        <x:v>EV-UI-004; EV-TEST-001</x:v>
      </x:c>
      <x:c r="O56" s="11" t="str">
        <x:v>Executed in the complete Flutter test run.</x:v>
      </x:c>
    </x:row>
    <x:row r="57">
      <x:c r="A57" s="11" t="str">
        <x:v>AUT-056</x:v>
      </x:c>
      <x:c r="B57" s="11" t="str">
        <x:v>Events</x:v>
      </x:c>
      <x:c r="C57" s="11" t="str">
        <x:v>member feed uses a two-column grid on desktop</x:v>
      </x:c>
      <x:c r="D57" s="11" t="str">
        <x:v>Verify the automated contract: member feed uses a two-column grid on desktop.</x:v>
      </x:c>
      <x:c r="E57" s="11" t="str">
        <x:v>Dependencies resolved; Flutter test binding available.</x:v>
      </x:c>
      <x:c r="F57" s="11" t="str">
        <x:v>Local fictional fixtures and bundled assets only.</x:v>
      </x:c>
      <x:c r="G57" s="11" t="str">
        <x:v>1. Run flutter test test/events_experience_test.dart.
2. Execute the testWidgets case named 'member feed uses a two-column grid on desktop'.
3. Compare assertions and captured exceptions.</x:v>
      </x:c>
      <x:c r="H57" s="11" t="str">
        <x:v>All declared assertions pass without uncaught exceptions.</x:v>
      </x:c>
      <x:c r="I57" s="11" t="str">
        <x:v>Automated assertion completed without an exception.</x:v>
      </x:c>
      <x:c r="J57" s="11" t="str">
        <x:v>Pass</x:v>
      </x:c>
      <x:c r="K57" s="11" t="str">
        <x:v>High</x:v>
      </x:c>
      <x:c r="L57" s="11" t="str"/>
      <x:c r="M57" s="11" t="str">
        <x:v>Windows 11; Flutter 3.44.6; Dart 3.12.2; widget test</x:v>
      </x:c>
      <x:c r="N57" s="11" t="str">
        <x:v>EV-UI-003; EV-UI-007; EV-TEST-001</x:v>
      </x:c>
      <x:c r="O57" s="11" t="str">
        <x:v>Executed in the complete Flutter test run.</x:v>
      </x:c>
    </x:row>
    <x:row r="58">
      <x:c r="A58" s="11" t="str">
        <x:v>AUT-057</x:v>
      </x:c>
      <x:c r="B58" s="11" t="str">
        <x:v>Events</x:v>
      </x:c>
      <x:c r="C58" s="11" t="str">
        <x:v>event detail is responsive and has no bottom navigation</x:v>
      </x:c>
      <x:c r="D58" s="11" t="str">
        <x:v>Verify the automated contract: event detail is responsive and has no bottom navigation.</x:v>
      </x:c>
      <x:c r="E58" s="11" t="str">
        <x:v>Dependencies resolved; Flutter test binding available.</x:v>
      </x:c>
      <x:c r="F58" s="11" t="str">
        <x:v>Local fictional fixtures and bundled assets only.</x:v>
      </x:c>
      <x:c r="G58" s="11" t="str">
        <x:v>1. Run flutter test test/events_experience_test.dart.
2. Execute the testWidgets case named 'event detail is responsive and has no bottom navigation'.
3. Compare assertions and captured exceptions.</x:v>
      </x:c>
      <x:c r="H58" s="11" t="str">
        <x:v>All declared assertions pass without uncaught exceptions.</x:v>
      </x:c>
      <x:c r="I58" s="11" t="str">
        <x:v>Automated assertion completed without an exception.</x:v>
      </x:c>
      <x:c r="J58" s="11" t="str">
        <x:v>Pass</x:v>
      </x:c>
      <x:c r="K58" s="11" t="str">
        <x:v>High</x:v>
      </x:c>
      <x:c r="L58" s="11" t="str"/>
      <x:c r="M58" s="11" t="str">
        <x:v>Windows 11; Flutter 3.44.6; Dart 3.12.2; widget test</x:v>
      </x:c>
      <x:c r="N58" s="11" t="str">
        <x:v>EV-UI-004; EV-TEST-001</x:v>
      </x:c>
      <x:c r="O58" s="11" t="str">
        <x:v>Executed in the complete Flutter test run.</x:v>
      </x:c>
    </x:row>
    <x:row r="59">
      <x:c r="A59" s="11" t="str">
        <x:v>AUT-058</x:v>
      </x:c>
      <x:c r="B59" s="11" t="str">
        <x:v>Events</x:v>
      </x:c>
      <x:c r="C59" s="11" t="str">
        <x:v>main navigation opens Events directly with one bottom bar</x:v>
      </x:c>
      <x:c r="D59" s="11" t="str">
        <x:v>Verify the automated contract: main navigation opens Events directly with one bottom bar.</x:v>
      </x:c>
      <x:c r="E59" s="11" t="str">
        <x:v>Dependencies resolved; Flutter test binding available.</x:v>
      </x:c>
      <x:c r="F59" s="11" t="str">
        <x:v>Local fictional fixtures and bundled assets only.</x:v>
      </x:c>
      <x:c r="G59" s="11" t="str">
        <x:v>1. Run flutter test test/events_experience_test.dart.
2. Execute the testWidgets case named 'main navigation opens Events directly with one bottom bar'.
3. Compare assertions and captured exceptions.</x:v>
      </x:c>
      <x:c r="H59" s="11" t="str">
        <x:v>All declared assertions pass without uncaught exceptions.</x:v>
      </x:c>
      <x:c r="I59" s="11" t="str">
        <x:v>Automated assertion completed without an exception.</x:v>
      </x:c>
      <x:c r="J59" s="11" t="str">
        <x:v>Pass</x:v>
      </x:c>
      <x:c r="K59" s="11" t="str">
        <x:v>High</x:v>
      </x:c>
      <x:c r="L59" s="11" t="str"/>
      <x:c r="M59" s="11" t="str">
        <x:v>Windows 11; Flutter 3.44.6; Dart 3.12.2; widget test</x:v>
      </x:c>
      <x:c r="N59" s="11" t="str">
        <x:v>EV-UI-003; EV-UI-007; EV-TEST-001</x:v>
      </x:c>
      <x:c r="O59" s="11" t="str">
        <x:v>Executed in the complete Flutter test run.</x:v>
      </x:c>
    </x:row>
    <x:row r="60">
      <x:c r="A60" s="11" t="str">
        <x:v>AUT-059</x:v>
      </x:c>
      <x:c r="B60" s="11" t="str">
        <x:v>FAQ &amp; Support</x:v>
      </x:c>
      <x:c r="C60" s="11" t="str">
        <x:v>FAQ support exposes email as the only direct support method</x:v>
      </x:c>
      <x:c r="D60" s="11" t="str">
        <x:v>Verify the automated contract: FAQ support exposes email as the only direct support method.</x:v>
      </x:c>
      <x:c r="E60" s="11" t="str">
        <x:v>Dependencies resolved; Flutter test binding available.</x:v>
      </x:c>
      <x:c r="F60" s="11" t="str">
        <x:v>Local fictional fixtures and bundled assets only.</x:v>
      </x:c>
      <x:c r="G60" s="11" t="str">
        <x:v>1. Run flutter test test/faq_support_screen_test.dart.
2. Execute the testWidgets case named 'FAQ support exposes email as the only direct support method'.
3. Compare assertions and captured exceptions.</x:v>
      </x:c>
      <x:c r="H60" s="11" t="str">
        <x:v>All declared assertions pass without uncaught exceptions.</x:v>
      </x:c>
      <x:c r="I60" s="11" t="str">
        <x:v>Automated assertion completed without an exception.</x:v>
      </x:c>
      <x:c r="J60" s="11" t="str">
        <x:v>Pass</x:v>
      </x:c>
      <x:c r="K60" s="11" t="str">
        <x:v>Medium</x:v>
      </x:c>
      <x:c r="L60" s="11" t="str"/>
      <x:c r="M60" s="11" t="str">
        <x:v>Windows 11; Flutter 3.44.6; Dart 3.12.2; widget test</x:v>
      </x:c>
      <x:c r="N60" s="11" t="str">
        <x:v>EV-UI-006; EV-TEST-001</x:v>
      </x:c>
      <x:c r="O60" s="11" t="str">
        <x:v>Executed in the complete Flutter test run.</x:v>
      </x:c>
    </x:row>
    <x:row r="61">
      <x:c r="A61" s="11" t="str">
        <x:v>AUT-060</x:v>
      </x:c>
      <x:c r="B61" s="11" t="str">
        <x:v>FAQ &amp; Support</x:v>
      </x:c>
      <x:c r="C61" s="11" t="str">
        <x:v>FAQ search matches question, answer, and category text</x:v>
      </x:c>
      <x:c r="D61" s="11" t="str">
        <x:v>Verify the automated contract: FAQ search matches question, answer, and category text.</x:v>
      </x:c>
      <x:c r="E61" s="11" t="str">
        <x:v>Dependencies resolved; Flutter test binding available.</x:v>
      </x:c>
      <x:c r="F61" s="11" t="str">
        <x:v>Local fictional fixtures and bundled assets only.</x:v>
      </x:c>
      <x:c r="G61" s="11" t="str">
        <x:v>1. Run flutter test test/faq_support_screen_test.dart.
2. Execute the testWidgets case named 'FAQ search matches question, answer, and category text'.
3. Compare assertions and captured exceptions.</x:v>
      </x:c>
      <x:c r="H61" s="11" t="str">
        <x:v>All declared assertions pass without uncaught exceptions.</x:v>
      </x:c>
      <x:c r="I61" s="11" t="str">
        <x:v>Automated assertion completed without an exception.</x:v>
      </x:c>
      <x:c r="J61" s="11" t="str">
        <x:v>Pass</x:v>
      </x:c>
      <x:c r="K61" s="11" t="str">
        <x:v>Medium</x:v>
      </x:c>
      <x:c r="L61" s="11" t="str"/>
      <x:c r="M61" s="11" t="str">
        <x:v>Windows 11; Flutter 3.44.6; Dart 3.12.2; widget test</x:v>
      </x:c>
      <x:c r="N61" s="11" t="str">
        <x:v>EV-UI-006; EV-TEST-001</x:v>
      </x:c>
      <x:c r="O61" s="11" t="str">
        <x:v>Executed in the complete Flutter test run.</x:v>
      </x:c>
    </x:row>
    <x:row r="62">
      <x:c r="A62" s="11" t="str">
        <x:v>AUT-061</x:v>
      </x:c>
      <x:c r="B62" s="11" t="str">
        <x:v>FAQ &amp; Support</x:v>
      </x:c>
      <x:c r="C62" s="11" t="str">
        <x:v>FAQ accordion expands accessibly without overflow</x:v>
      </x:c>
      <x:c r="D62" s="11" t="str">
        <x:v>Verify the automated contract: FAQ accordion expands accessibly without overflow.</x:v>
      </x:c>
      <x:c r="E62" s="11" t="str">
        <x:v>Dependencies resolved; Flutter test binding available.</x:v>
      </x:c>
      <x:c r="F62" s="11" t="str">
        <x:v>Local fictional fixtures and bundled assets only.</x:v>
      </x:c>
      <x:c r="G62" s="11" t="str">
        <x:v>1. Run flutter test test/faq_support_screen_test.dart.
2. Execute the testWidgets case named 'FAQ accordion expands accessibly without overflow'.
3. Compare assertions and captured exceptions.</x:v>
      </x:c>
      <x:c r="H62" s="11" t="str">
        <x:v>All declared assertions pass without uncaught exceptions.</x:v>
      </x:c>
      <x:c r="I62" s="11" t="str">
        <x:v>Automated assertion completed without an exception.</x:v>
      </x:c>
      <x:c r="J62" s="11" t="str">
        <x:v>Pass</x:v>
      </x:c>
      <x:c r="K62" s="11" t="str">
        <x:v>Medium</x:v>
      </x:c>
      <x:c r="L62" s="11" t="str"/>
      <x:c r="M62" s="11" t="str">
        <x:v>Windows 11; Flutter 3.44.6; Dart 3.12.2; widget test</x:v>
      </x:c>
      <x:c r="N62" s="11" t="str">
        <x:v>EV-UI-006; EV-TEST-001</x:v>
      </x:c>
      <x:c r="O62" s="11" t="str">
        <x:v>Executed in the complete Flutter test run.</x:v>
      </x:c>
    </x:row>
    <x:row r="63">
      <x:c r="A63" s="11" t="str">
        <x:v>AUT-062</x:v>
      </x:c>
      <x:c r="B63" s="11" t="str">
        <x:v>FAQ &amp; Support</x:v>
      </x:c>
      <x:c r="C63" s="11" t="str">
        <x:v>FAQ support remains responsive on desktop</x:v>
      </x:c>
      <x:c r="D63" s="11" t="str">
        <x:v>Verify the automated contract: FAQ support remains responsive on desktop.</x:v>
      </x:c>
      <x:c r="E63" s="11" t="str">
        <x:v>Dependencies resolved; Flutter test binding available.</x:v>
      </x:c>
      <x:c r="F63" s="11" t="str">
        <x:v>Local fictional fixtures and bundled assets only.</x:v>
      </x:c>
      <x:c r="G63" s="11" t="str">
        <x:v>1. Run flutter test test/faq_support_screen_test.dart.
2. Execute the testWidgets case named 'FAQ support remains responsive on desktop'.
3. Compare assertions and captured exceptions.</x:v>
      </x:c>
      <x:c r="H63" s="11" t="str">
        <x:v>All declared assertions pass without uncaught exceptions.</x:v>
      </x:c>
      <x:c r="I63" s="11" t="str">
        <x:v>Automated assertion completed without an exception.</x:v>
      </x:c>
      <x:c r="J63" s="11" t="str">
        <x:v>Pass</x:v>
      </x:c>
      <x:c r="K63" s="11" t="str">
        <x:v>Medium</x:v>
      </x:c>
      <x:c r="L63" s="11" t="str"/>
      <x:c r="M63" s="11" t="str">
        <x:v>Windows 11; Flutter 3.44.6; Dart 3.12.2; widget test</x:v>
      </x:c>
      <x:c r="N63" s="11" t="str">
        <x:v>EV-UI-006; EV-TEST-001</x:v>
      </x:c>
      <x:c r="O63" s="11" t="str">
        <x:v>Executed in the complete Flutter test run.</x:v>
      </x:c>
    </x:row>
    <x:row r="64">
      <x:c r="A64" s="11" t="str">
        <x:v>AUT-063</x:v>
      </x:c>
      <x:c r="B64" s="11" t="str">
        <x:v>Discover</x:v>
      </x:c>
      <x:c r="C64" s="11" t="str">
        <x:v>primary navigation exposes exactly the four approved destinations</x:v>
      </x:c>
      <x:c r="D64" s="11" t="str">
        <x:v>Verify the automated contract: primary navigation exposes exactly the four approved destinations.</x:v>
      </x:c>
      <x:c r="E64" s="11" t="str">
        <x:v>Dependencies resolved; Flutter test binding available.</x:v>
      </x:c>
      <x:c r="F64" s="11" t="str">
        <x:v>Local fictional fixtures and bundled assets only.</x:v>
      </x:c>
      <x:c r="G64" s="11" t="str">
        <x:v>1. Run flutter test test/four_tab_discover_test.dart.
2. Execute the test case named 'primary navigation exposes exactly the four approved destinations'.
3. Compare assertions and captured exceptions.</x:v>
      </x:c>
      <x:c r="H64" s="11" t="str">
        <x:v>All declared assertions pass without uncaught exceptions.</x:v>
      </x:c>
      <x:c r="I64" s="11" t="str">
        <x:v>The legacy four-tab/old Discover widget contract no longer matches the current five-tab canonical Discover implementation; newer Discover tests pass against the current UI.</x:v>
      </x:c>
      <x:c r="J64" s="11" t="str">
        <x:v>Fail</x:v>
      </x:c>
      <x:c r="K64" s="11" t="str">
        <x:v>High</x:v>
      </x:c>
      <x:c r="L64" s="11" t="str">
        <x:v>P3</x:v>
      </x:c>
      <x:c r="M64" s="11" t="str">
        <x:v>Windows 11; Flutter 3.44.6; Dart 3.12.2; widget test</x:v>
      </x:c>
      <x:c r="N64" s="11" t="str">
        <x:v>EV-UI-002; EV-TEST-001</x:v>
      </x:c>
      <x:c r="O64" s="11" t="str">
        <x:v>Mapped to BUG-TST-001.</x:v>
      </x:c>
    </x:row>
    <x:row r="65">
      <x:c r="A65" s="11" t="str">
        <x:v>AUT-064</x:v>
      </x:c>
      <x:c r="B65" s="11" t="str">
        <x:v>Discover</x:v>
      </x:c>
      <x:c r="C65" s="11" t="str">
        <x:v>IndexedStack preserves the active Discover profile</x:v>
      </x:c>
      <x:c r="D65" s="11" t="str">
        <x:v>Verify the automated contract: IndexedStack preserves the active Discover profile.</x:v>
      </x:c>
      <x:c r="E65" s="11" t="str">
        <x:v>Dependencies resolved; Flutter test binding available.</x:v>
      </x:c>
      <x:c r="F65" s="11" t="str">
        <x:v>Local fictional fixtures and bundled assets only.</x:v>
      </x:c>
      <x:c r="G65" s="11" t="str">
        <x:v>1. Run flutter test test/four_tab_discover_test.dart.
2. Execute the testWidgets case named 'IndexedStack preserves the active Discover profile'.
3. Compare assertions and captured exceptions.</x:v>
      </x:c>
      <x:c r="H65" s="11" t="str">
        <x:v>All declared assertions pass without uncaught exceptions.</x:v>
      </x:c>
      <x:c r="I65" s="11" t="str">
        <x:v>The legacy four-tab/old Discover widget contract no longer matches the current five-tab canonical Discover implementation; newer Discover tests pass against the current UI.</x:v>
      </x:c>
      <x:c r="J65" s="11" t="str">
        <x:v>Fail</x:v>
      </x:c>
      <x:c r="K65" s="11" t="str">
        <x:v>High</x:v>
      </x:c>
      <x:c r="L65" s="11" t="str">
        <x:v>P3</x:v>
      </x:c>
      <x:c r="M65" s="11" t="str">
        <x:v>Windows 11; Flutter 3.44.6; Dart 3.12.2; widget test</x:v>
      </x:c>
      <x:c r="N65" s="11" t="str">
        <x:v>EV-UI-002; EV-TEST-001</x:v>
      </x:c>
      <x:c r="O65" s="11" t="str">
        <x:v>Mapped to BUG-TST-001.</x:v>
      </x:c>
    </x:row>
    <x:row r="66">
      <x:c r="A66" s="11" t="str">
        <x:v>AUT-065</x:v>
      </x:c>
      <x:c r="B66" s="11" t="str">
        <x:v>Discover</x:v>
      </x:c>
      <x:c r="C66" s="11" t="str">
        <x:v>Discover is single-card, single-image, and search-free</x:v>
      </x:c>
      <x:c r="D66" s="11" t="str">
        <x:v>Verify the automated contract: Discover is single-card, single-image, and search-free.</x:v>
      </x:c>
      <x:c r="E66" s="11" t="str">
        <x:v>Dependencies resolved; Flutter test binding available.</x:v>
      </x:c>
      <x:c r="F66" s="11" t="str">
        <x:v>Local fictional fixtures and bundled assets only.</x:v>
      </x:c>
      <x:c r="G66" s="11" t="str">
        <x:v>1. Run flutter test test/four_tab_discover_test.dart.
2. Execute the testWidgets case named 'Discover is single-card, single-image, and search-free'.
3. Compare assertions and captured exceptions.</x:v>
      </x:c>
      <x:c r="H66" s="11" t="str">
        <x:v>All declared assertions pass without uncaught exceptions.</x:v>
      </x:c>
      <x:c r="I66" s="11" t="str">
        <x:v>The legacy four-tab/old Discover widget contract no longer matches the current five-tab canonical Discover implementation; newer Discover tests pass against the current UI.</x:v>
      </x:c>
      <x:c r="J66" s="11" t="str">
        <x:v>Fail</x:v>
      </x:c>
      <x:c r="K66" s="11" t="str">
        <x:v>High</x:v>
      </x:c>
      <x:c r="L66" s="11" t="str">
        <x:v>P3</x:v>
      </x:c>
      <x:c r="M66" s="11" t="str">
        <x:v>Windows 11; Flutter 3.44.6; Dart 3.12.2; widget test</x:v>
      </x:c>
      <x:c r="N66" s="11" t="str">
        <x:v>EV-UI-002; EV-TEST-001</x:v>
      </x:c>
      <x:c r="O66" s="11" t="str">
        <x:v>Mapped to BUG-TST-001.</x:v>
      </x:c>
    </x:row>
    <x:row r="67">
      <x:c r="A67" s="11" t="str">
        <x:v>AUT-066</x:v>
      </x:c>
      <x:c r="B67" s="11" t="str">
        <x:v>Discover</x:v>
      </x:c>
      <x:c r="C67" s="11" t="str">
        <x:v>Discover photo tap zones change only the visible photo</x:v>
      </x:c>
      <x:c r="D67" s="11" t="str">
        <x:v>Verify the automated contract: Discover photo tap zones change only the visible photo.</x:v>
      </x:c>
      <x:c r="E67" s="11" t="str">
        <x:v>Dependencies resolved; Flutter test binding available.</x:v>
      </x:c>
      <x:c r="F67" s="11" t="str">
        <x:v>Local fictional fixtures and bundled assets only.</x:v>
      </x:c>
      <x:c r="G67" s="11" t="str">
        <x:v>1. Run flutter test test/four_tab_discover_test.dart.
2. Execute the testWidgets case named 'Discover photo tap zones change only the visible photo'.
3. Compare assertions and captured exceptions.</x:v>
      </x:c>
      <x:c r="H67" s="11" t="str">
        <x:v>All declared assertions pass without uncaught exceptions.</x:v>
      </x:c>
      <x:c r="I67" s="11" t="str">
        <x:v>The legacy four-tab/old Discover widget contract no longer matches the current five-tab canonical Discover implementation; newer Discover tests pass against the current UI.</x:v>
      </x:c>
      <x:c r="J67" s="11" t="str">
        <x:v>Fail</x:v>
      </x:c>
      <x:c r="K67" s="11" t="str">
        <x:v>High</x:v>
      </x:c>
      <x:c r="L67" s="11" t="str">
        <x:v>P3</x:v>
      </x:c>
      <x:c r="M67" s="11" t="str">
        <x:v>Windows 11; Flutter 3.44.6; Dart 3.12.2; widget test</x:v>
      </x:c>
      <x:c r="N67" s="11" t="str">
        <x:v>EV-UI-002; EV-TEST-001</x:v>
      </x:c>
      <x:c r="O67" s="11" t="str">
        <x:v>Mapped to BUG-TST-001.</x:v>
      </x:c>
    </x:row>
    <x:row r="68">
      <x:c r="A68" s="11" t="str">
        <x:v>AUT-067</x:v>
      </x:c>
      <x:c r="B68" s="11" t="str">
        <x:v>Discover</x:v>
      </x:c>
      <x:c r="C68" s="11" t="str">
        <x:v>Discover shows a live compact completion line below 100%</x:v>
      </x:c>
      <x:c r="D68" s="11" t="str">
        <x:v>Verify the automated contract: Discover shows a live compact completion line below 100%.</x:v>
      </x:c>
      <x:c r="E68" s="11" t="str">
        <x:v>Dependencies resolved; Flutter test binding available.</x:v>
      </x:c>
      <x:c r="F68" s="11" t="str">
        <x:v>Local fictional fixtures and bundled assets only.</x:v>
      </x:c>
      <x:c r="G68" s="11" t="str">
        <x:v>1. Run flutter test test/four_tab_discover_test.dart.
2. Execute the testWidgets case named 'Discover shows a live compact completion line below 100%'.
3. Compare assertions and captured exceptions.</x:v>
      </x:c>
      <x:c r="H68" s="11" t="str">
        <x:v>All declared assertions pass without uncaught exceptions.</x:v>
      </x:c>
      <x:c r="I68" s="11" t="str">
        <x:v>The legacy four-tab/old Discover widget contract no longer matches the current five-tab canonical Discover implementation; newer Discover tests pass against the current UI.</x:v>
      </x:c>
      <x:c r="J68" s="11" t="str">
        <x:v>Fail</x:v>
      </x:c>
      <x:c r="K68" s="11" t="str">
        <x:v>High</x:v>
      </x:c>
      <x:c r="L68" s="11" t="str">
        <x:v>P3</x:v>
      </x:c>
      <x:c r="M68" s="11" t="str">
        <x:v>Windows 11; Flutter 3.44.6; Dart 3.12.2; widget test</x:v>
      </x:c>
      <x:c r="N68" s="11" t="str">
        <x:v>EV-UI-002; EV-TEST-001</x:v>
      </x:c>
      <x:c r="O68" s="11" t="str">
        <x:v>Mapped to BUG-TST-001.</x:v>
      </x:c>
    </x:row>
    <x:row r="69">
      <x:c r="A69" s="11" t="str">
        <x:v>AUT-068</x:v>
      </x:c>
      <x:c r="B69" s="11" t="str">
        <x:v>Discover</x:v>
      </x:c>
      <x:c r="C69" s="11" t="str">
        <x:v>completion line updates and hides when profile reaches 100%</x:v>
      </x:c>
      <x:c r="D69" s="11" t="str">
        <x:v>Verify the automated contract: completion line updates and hides when profile reaches 100%.</x:v>
      </x:c>
      <x:c r="E69" s="11" t="str">
        <x:v>Dependencies resolved; Flutter test binding available.</x:v>
      </x:c>
      <x:c r="F69" s="11" t="str">
        <x:v>Local fictional fixtures and bundled assets only.</x:v>
      </x:c>
      <x:c r="G69" s="11" t="str">
        <x:v>1. Run flutter test test/four_tab_discover_test.dart.
2. Execute the testWidgets case named 'completion line updates and hides when profile reaches 100%'.
3. Compare assertions and captured exceptions.</x:v>
      </x:c>
      <x:c r="H69" s="11" t="str">
        <x:v>All declared assertions pass without uncaught exceptions.</x:v>
      </x:c>
      <x:c r="I69" s="11" t="str">
        <x:v>The legacy four-tab/old Discover widget contract no longer matches the current five-tab canonical Discover implementation; newer Discover tests pass against the current UI.</x:v>
      </x:c>
      <x:c r="J69" s="11" t="str">
        <x:v>Fail</x:v>
      </x:c>
      <x:c r="K69" s="11" t="str">
        <x:v>High</x:v>
      </x:c>
      <x:c r="L69" s="11" t="str">
        <x:v>P3</x:v>
      </x:c>
      <x:c r="M69" s="11" t="str">
        <x:v>Windows 11; Flutter 3.44.6; Dart 3.12.2; widget test</x:v>
      </x:c>
      <x:c r="N69" s="11" t="str">
        <x:v>EV-UI-002; EV-TEST-001</x:v>
      </x:c>
      <x:c r="O69" s="11" t="str">
        <x:v>Mapped to BUG-TST-001.</x:v>
      </x:c>
    </x:row>
    <x:row r="70">
      <x:c r="A70" s="11" t="str">
        <x:v>AUT-069</x:v>
      </x:c>
      <x:c r="B70" s="11" t="str">
        <x:v>Discover</x:v>
      </x:c>
      <x:c r="C70" s="11" t="str">
        <x:v>right and left gestures use Like and Reject controller actions</x:v>
      </x:c>
      <x:c r="D70" s="11" t="str">
        <x:v>Verify the automated contract: right and left gestures use Like and Reject controller actions.</x:v>
      </x:c>
      <x:c r="E70" s="11" t="str">
        <x:v>Dependencies resolved; Flutter test binding available.</x:v>
      </x:c>
      <x:c r="F70" s="11" t="str">
        <x:v>Local fictional fixtures and bundled assets only.</x:v>
      </x:c>
      <x:c r="G70" s="11" t="str">
        <x:v>1. Run flutter test test/four_tab_discover_test.dart.
2. Execute the testWidgets case named 'right and left gestures use Like and Reject controller actions'.
3. Compare assertions and captured exceptions.</x:v>
      </x:c>
      <x:c r="H70" s="11" t="str">
        <x:v>All declared assertions pass without uncaught exceptions.</x:v>
      </x:c>
      <x:c r="I70" s="11" t="str">
        <x:v>The legacy four-tab/old Discover widget contract no longer matches the current five-tab canonical Discover implementation; newer Discover tests pass against the current UI.</x:v>
      </x:c>
      <x:c r="J70" s="11" t="str">
        <x:v>Fail</x:v>
      </x:c>
      <x:c r="K70" s="11" t="str">
        <x:v>High</x:v>
      </x:c>
      <x:c r="L70" s="11" t="str">
        <x:v>P3</x:v>
      </x:c>
      <x:c r="M70" s="11" t="str">
        <x:v>Windows 11; Flutter 3.44.6; Dart 3.12.2; widget test</x:v>
      </x:c>
      <x:c r="N70" s="11" t="str">
        <x:v>EV-UI-002; EV-TEST-001</x:v>
      </x:c>
      <x:c r="O70" s="11" t="str">
        <x:v>Mapped to BUG-TST-001.</x:v>
      </x:c>
    </x:row>
    <x:row r="71">
      <x:c r="A71" s="11" t="str">
        <x:v>AUT-070</x:v>
      </x:c>
      <x:c r="B71" s="11" t="str">
        <x:v>Discover</x:v>
      </x:c>
      <x:c r="C71" s="11" t="str">
        <x:v>vertical and short horizontal drags do not advance the profile</x:v>
      </x:c>
      <x:c r="D71" s="11" t="str">
        <x:v>Verify the automated contract: vertical and short horizontal drags do not advance the profile.</x:v>
      </x:c>
      <x:c r="E71" s="11" t="str">
        <x:v>Dependencies resolved; Flutter test binding available.</x:v>
      </x:c>
      <x:c r="F71" s="11" t="str">
        <x:v>Local fictional fixtures and bundled assets only.</x:v>
      </x:c>
      <x:c r="G71" s="11" t="str">
        <x:v>1. Run flutter test test/four_tab_discover_test.dart.
2. Execute the testWidgets case named 'vertical and short horizontal drags do not advance the profile'.
3. Compare assertions and captured exceptions.</x:v>
      </x:c>
      <x:c r="H71" s="11" t="str">
        <x:v>All declared assertions pass without uncaught exceptions.</x:v>
      </x:c>
      <x:c r="I71" s="11" t="str">
        <x:v>The legacy four-tab/old Discover widget contract no longer matches the current five-tab canonical Discover implementation; newer Discover tests pass against the current UI.</x:v>
      </x:c>
      <x:c r="J71" s="11" t="str">
        <x:v>Fail</x:v>
      </x:c>
      <x:c r="K71" s="11" t="str">
        <x:v>High</x:v>
      </x:c>
      <x:c r="L71" s="11" t="str">
        <x:v>P3</x:v>
      </x:c>
      <x:c r="M71" s="11" t="str">
        <x:v>Windows 11; Flutter 3.44.6; Dart 3.12.2; widget test</x:v>
      </x:c>
      <x:c r="N71" s="11" t="str">
        <x:v>EV-UI-002; EV-TEST-001</x:v>
      </x:c>
      <x:c r="O71" s="11" t="str">
        <x:v>Mapped to BUG-TST-001.</x:v>
      </x:c>
    </x:row>
    <x:row r="72">
      <x:c r="A72" s="11" t="str">
        <x:v>AUT-071</x:v>
      </x:c>
      <x:c r="B72" s="11" t="str">
        <x:v>Discover</x:v>
      </x:c>
      <x:c r="C72" s="11" t="str">
        <x:v>buttons and Chrome keyboard shortcuts use the same actions</x:v>
      </x:c>
      <x:c r="D72" s="11" t="str">
        <x:v>Verify the automated contract: buttons and Chrome keyboard shortcuts use the same actions.</x:v>
      </x:c>
      <x:c r="E72" s="11" t="str">
        <x:v>Dependencies resolved; Flutter test binding available.</x:v>
      </x:c>
      <x:c r="F72" s="11" t="str">
        <x:v>Local fictional fixtures and bundled assets only.</x:v>
      </x:c>
      <x:c r="G72" s="11" t="str">
        <x:v>1. Run flutter test test/four_tab_discover_test.dart.
2. Execute the testWidgets case named 'buttons and Chrome keyboard shortcuts use the same actions'.
3. Compare assertions and captured exceptions.</x:v>
      </x:c>
      <x:c r="H72" s="11" t="str">
        <x:v>All declared assertions pass without uncaught exceptions.</x:v>
      </x:c>
      <x:c r="I72" s="11" t="str">
        <x:v>The legacy four-tab/old Discover widget contract no longer matches the current five-tab canonical Discover implementation; newer Discover tests pass against the current UI.</x:v>
      </x:c>
      <x:c r="J72" s="11" t="str">
        <x:v>Fail</x:v>
      </x:c>
      <x:c r="K72" s="11" t="str">
        <x:v>High</x:v>
      </x:c>
      <x:c r="L72" s="11" t="str">
        <x:v>P3</x:v>
      </x:c>
      <x:c r="M72" s="11" t="str">
        <x:v>Windows 11; Flutter 3.44.6; Dart 3.12.2; widget test</x:v>
      </x:c>
      <x:c r="N72" s="11" t="str">
        <x:v>EV-UI-002; EV-TEST-001</x:v>
      </x:c>
      <x:c r="O72" s="11" t="str">
        <x:v>Mapped to BUG-TST-001.</x:v>
      </x:c>
    </x:row>
    <x:row r="73">
      <x:c r="A73" s="11" t="str">
        <x:v>AUT-072</x:v>
      </x:c>
      <x:c r="B73" s="11" t="str">
        <x:v>Discover</x:v>
      </x:c>
      <x:c r="C73" s="11" t="str">
        <x:v>empty state appears and can explicitly refresh the local deck</x:v>
      </x:c>
      <x:c r="D73" s="11" t="str">
        <x:v>Verify the automated contract: empty state appears and can explicitly refresh the local deck.</x:v>
      </x:c>
      <x:c r="E73" s="11" t="str">
        <x:v>Dependencies resolved; Flutter test binding available.</x:v>
      </x:c>
      <x:c r="F73" s="11" t="str">
        <x:v>Local fictional fixtures and bundled assets only.</x:v>
      </x:c>
      <x:c r="G73" s="11" t="str">
        <x:v>1. Run flutter test test/four_tab_discover_test.dart.
2. Execute the testWidgets case named 'empty state appears and can explicitly refresh the local deck'.
3. Compare assertions and captured exceptions.</x:v>
      </x:c>
      <x:c r="H73" s="11" t="str">
        <x:v>All declared assertions pass without uncaught exceptions.</x:v>
      </x:c>
      <x:c r="I73" s="11" t="str">
        <x:v>The legacy four-tab/old Discover widget contract no longer matches the current five-tab canonical Discover implementation; newer Discover tests pass against the current UI.</x:v>
      </x:c>
      <x:c r="J73" s="11" t="str">
        <x:v>Fail</x:v>
      </x:c>
      <x:c r="K73" s="11" t="str">
        <x:v>High</x:v>
      </x:c>
      <x:c r="L73" s="11" t="str">
        <x:v>P3</x:v>
      </x:c>
      <x:c r="M73" s="11" t="str">
        <x:v>Windows 11; Flutter 3.44.6; Dart 3.12.2; widget test</x:v>
      </x:c>
      <x:c r="N73" s="11" t="str">
        <x:v>EV-UI-002; EV-TEST-001</x:v>
      </x:c>
      <x:c r="O73" s="11" t="str">
        <x:v>Mapped to BUG-TST-001.</x:v>
      </x:c>
    </x:row>
    <x:row r="74">
      <x:c r="A74" s="11" t="str">
        <x:v>AUT-073</x:v>
      </x:c>
      <x:c r="B74" s="11" t="str">
        <x:v>Discover</x:v>
      </x:c>
      <x:c r="C74" s="11" t="str">
        <x:v>actions stay guarded while the exit animation is running</x:v>
      </x:c>
      <x:c r="D74" s="11" t="str">
        <x:v>Verify the automated contract: actions stay guarded while the exit animation is running.</x:v>
      </x:c>
      <x:c r="E74" s="11" t="str">
        <x:v>Dependencies resolved; Flutter test binding available.</x:v>
      </x:c>
      <x:c r="F74" s="11" t="str">
        <x:v>Local fictional fixtures and bundled assets only.</x:v>
      </x:c>
      <x:c r="G74" s="11" t="str">
        <x:v>1. Run flutter test test/four_tab_discover_test.dart.
2. Execute the testWidgets case named 'actions stay guarded while the exit animation is running'.
3. Compare assertions and captured exceptions.</x:v>
      </x:c>
      <x:c r="H74" s="11" t="str">
        <x:v>All declared assertions pass without uncaught exceptions.</x:v>
      </x:c>
      <x:c r="I74" s="11" t="str">
        <x:v>The legacy four-tab/old Discover widget contract no longer matches the current five-tab canonical Discover implementation; newer Discover tests pass against the current UI.</x:v>
      </x:c>
      <x:c r="J74" s="11" t="str">
        <x:v>Fail</x:v>
      </x:c>
      <x:c r="K74" s="11" t="str">
        <x:v>High</x:v>
      </x:c>
      <x:c r="L74" s="11" t="str">
        <x:v>P3</x:v>
      </x:c>
      <x:c r="M74" s="11" t="str">
        <x:v>Windows 11; Flutter 3.44.6; Dart 3.12.2; widget test</x:v>
      </x:c>
      <x:c r="N74" s="11" t="str">
        <x:v>EV-UI-002; EV-TEST-001</x:v>
      </x:c>
      <x:c r="O74" s="11" t="str">
        <x:v>Mapped to BUG-TST-001.</x:v>
      </x:c>
    </x:row>
    <x:row r="75">
      <x:c r="A75" s="11" t="str">
        <x:v>AUT-074</x:v>
      </x:c>
      <x:c r="B75" s="11" t="str">
        <x:v>Discover</x:v>
      </x:c>
      <x:c r="C75" s="11" t="str">
        <x:v>applying a non-default filter shows the active indicator</x:v>
      </x:c>
      <x:c r="D75" s="11" t="str">
        <x:v>Verify the automated contract: applying a non-default filter shows the active indicator.</x:v>
      </x:c>
      <x:c r="E75" s="11" t="str">
        <x:v>Dependencies resolved; Flutter test binding available.</x:v>
      </x:c>
      <x:c r="F75" s="11" t="str">
        <x:v>Local fictional fixtures and bundled assets only.</x:v>
      </x:c>
      <x:c r="G75" s="11" t="str">
        <x:v>1. Run flutter test test/four_tab_discover_test.dart.
2. Execute the testWidgets case named 'applying a non-default filter shows the active indicator'.
3. Compare assertions and captured exceptions.</x:v>
      </x:c>
      <x:c r="H75" s="11" t="str">
        <x:v>All declared assertions pass without uncaught exceptions.</x:v>
      </x:c>
      <x:c r="I75" s="11" t="str">
        <x:v>The legacy four-tab/old Discover widget contract no longer matches the current five-tab canonical Discover implementation; newer Discover tests pass against the current UI.</x:v>
      </x:c>
      <x:c r="J75" s="11" t="str">
        <x:v>Fail</x:v>
      </x:c>
      <x:c r="K75" s="11" t="str">
        <x:v>High</x:v>
      </x:c>
      <x:c r="L75" s="11" t="str">
        <x:v>P3</x:v>
      </x:c>
      <x:c r="M75" s="11" t="str">
        <x:v>Windows 11; Flutter 3.44.6; Dart 3.12.2; widget test</x:v>
      </x:c>
      <x:c r="N75" s="11" t="str">
        <x:v>EV-UI-002; EV-TEST-001</x:v>
      </x:c>
      <x:c r="O75" s="11" t="str">
        <x:v>Mapped to BUG-TST-001.</x:v>
      </x:c>
    </x:row>
    <x:row r="76">
      <x:c r="A76" s="11" t="str">
        <x:v>AUT-075</x:v>
      </x:c>
      <x:c r="B76" s="11" t="str">
        <x:v>Discover</x:v>
      </x:c>
      <x:c r="C76" s="11" t="str">
        <x:v>image tap opens the existing scrollable profile details route</x:v>
      </x:c>
      <x:c r="D76" s="11" t="str">
        <x:v>Verify the automated contract: image tap opens the existing scrollable profile details route.</x:v>
      </x:c>
      <x:c r="E76" s="11" t="str">
        <x:v>Dependencies resolved; Flutter test binding available.</x:v>
      </x:c>
      <x:c r="F76" s="11" t="str">
        <x:v>Local fictional fixtures and bundled assets only.</x:v>
      </x:c>
      <x:c r="G76" s="11" t="str">
        <x:v>1. Run flutter test test/four_tab_discover_test.dart.
2. Execute the testWidgets case named 'image tap opens the existing scrollable profile details route'.
3. Compare assertions and captured exceptions.</x:v>
      </x:c>
      <x:c r="H76" s="11" t="str">
        <x:v>All declared assertions pass without uncaught exceptions.</x:v>
      </x:c>
      <x:c r="I76" s="11" t="str">
        <x:v>The legacy four-tab/old Discover widget contract no longer matches the current five-tab canonical Discover implementation; newer Discover tests pass against the current UI.</x:v>
      </x:c>
      <x:c r="J76" s="11" t="str">
        <x:v>Fail</x:v>
      </x:c>
      <x:c r="K76" s="11" t="str">
        <x:v>High</x:v>
      </x:c>
      <x:c r="L76" s="11" t="str">
        <x:v>P3</x:v>
      </x:c>
      <x:c r="M76" s="11" t="str">
        <x:v>Windows 11; Flutter 3.44.6; Dart 3.12.2; widget test</x:v>
      </x:c>
      <x:c r="N76" s="11" t="str">
        <x:v>EV-UI-002; EV-TEST-001</x:v>
      </x:c>
      <x:c r="O76" s="11" t="str">
        <x:v>Mapped to BUG-TST-001.</x:v>
      </x:c>
    </x:row>
    <x:row r="77">
      <x:c r="A77" s="11" t="str">
        <x:v>AUT-076</x:v>
      </x:c>
      <x:c r="B77" s="11" t="str">
        <x:v>Discover</x:v>
      </x:c>
      <x:c r="C77" s="11" t="str">
        <x:v>sticky detail actions return through the Discover controller</x:v>
      </x:c>
      <x:c r="D77" s="11" t="str">
        <x:v>Verify the automated contract: sticky detail actions return through the Discover controller.</x:v>
      </x:c>
      <x:c r="E77" s="11" t="str">
        <x:v>Dependencies resolved; Flutter test binding available.</x:v>
      </x:c>
      <x:c r="F77" s="11" t="str">
        <x:v>Local fictional fixtures and bundled assets only.</x:v>
      </x:c>
      <x:c r="G77" s="11" t="str">
        <x:v>1. Run flutter test test/four_tab_discover_test.dart.
2. Execute the testWidgets case named 'sticky detail actions return through the Discover controller'.
3. Compare assertions and captured exceptions.</x:v>
      </x:c>
      <x:c r="H77" s="11" t="str">
        <x:v>All declared assertions pass without uncaught exceptions.</x:v>
      </x:c>
      <x:c r="I77" s="11" t="str">
        <x:v>The legacy four-tab/old Discover widget contract no longer matches the current five-tab canonical Discover implementation; newer Discover tests pass against the current UI.</x:v>
      </x:c>
      <x:c r="J77" s="11" t="str">
        <x:v>Fail</x:v>
      </x:c>
      <x:c r="K77" s="11" t="str">
        <x:v>High</x:v>
      </x:c>
      <x:c r="L77" s="11" t="str">
        <x:v>P3</x:v>
      </x:c>
      <x:c r="M77" s="11" t="str">
        <x:v>Windows 11; Flutter 3.44.6; Dart 3.12.2; widget test</x:v>
      </x:c>
      <x:c r="N77" s="11" t="str">
        <x:v>EV-UI-002; EV-TEST-001</x:v>
      </x:c>
      <x:c r="O77" s="11" t="str">
        <x:v>Mapped to BUG-TST-001.</x:v>
      </x:c>
    </x:row>
    <x:row r="78">
      <x:c r="A78" s="11" t="str">
        <x:v>AUT-077</x:v>
      </x:c>
      <x:c r="B78" s="11" t="str">
        <x:v>Discover</x:v>
      </x:c>
      <x:c r="C78" s="11" t="str">
        <x:v>profile details expose the complete editorial image sequence</x:v>
      </x:c>
      <x:c r="D78" s="11" t="str">
        <x:v>Verify the automated contract: profile details expose the complete editorial image sequence.</x:v>
      </x:c>
      <x:c r="E78" s="11" t="str">
        <x:v>Dependencies resolved; Flutter test binding available.</x:v>
      </x:c>
      <x:c r="F78" s="11" t="str">
        <x:v>Local fictional fixtures and bundled assets only.</x:v>
      </x:c>
      <x:c r="G78" s="11" t="str">
        <x:v>1. Run flutter test test/four_tab_discover_test.dart.
2. Execute the testWidgets case named 'profile details expose the complete editorial image sequence'.
3. Compare assertions and captured exceptions.</x:v>
      </x:c>
      <x:c r="H78" s="11" t="str">
        <x:v>All declared assertions pass without uncaught exceptions.</x:v>
      </x:c>
      <x:c r="I78" s="11" t="str">
        <x:v>The legacy four-tab/old Discover widget contract no longer matches the current five-tab canonical Discover implementation; newer Discover tests pass against the current UI.</x:v>
      </x:c>
      <x:c r="J78" s="11" t="str">
        <x:v>Fail</x:v>
      </x:c>
      <x:c r="K78" s="11" t="str">
        <x:v>High</x:v>
      </x:c>
      <x:c r="L78" s="11" t="str">
        <x:v>P3</x:v>
      </x:c>
      <x:c r="M78" s="11" t="str">
        <x:v>Windows 11; Flutter 3.44.6; Dart 3.12.2; widget test</x:v>
      </x:c>
      <x:c r="N78" s="11" t="str">
        <x:v>EV-UI-002; EV-TEST-001</x:v>
      </x:c>
      <x:c r="O78" s="11" t="str">
        <x:v>Mapped to BUG-TST-001.</x:v>
      </x:c>
    </x:row>
    <x:row r="79">
      <x:c r="A79" s="11" t="str">
        <x:v>AUT-078</x:v>
      </x:c>
      <x:c r="B79" s="11" t="str">
        <x:v>Discover</x:v>
      </x:c>
      <x:c r="C79" s="11" t="str">
        <x:v>Discover and details remain overflow-free across key sizes</x:v>
      </x:c>
      <x:c r="D79" s="11" t="str">
        <x:v>Verify the automated contract: Discover and details remain overflow-free across key sizes.</x:v>
      </x:c>
      <x:c r="E79" s="11" t="str">
        <x:v>Dependencies resolved; Flutter test binding available.</x:v>
      </x:c>
      <x:c r="F79" s="11" t="str">
        <x:v>Local fictional fixtures and bundled assets only.</x:v>
      </x:c>
      <x:c r="G79" s="11" t="str">
        <x:v>1. Run flutter test test/four_tab_discover_test.dart.
2. Execute the testWidgets case named 'Discover and details remain overflow-free across key sizes'.
3. Compare assertions and captured exceptions.</x:v>
      </x:c>
      <x:c r="H79" s="11" t="str">
        <x:v>All declared assertions pass without uncaught exceptions.</x:v>
      </x:c>
      <x:c r="I79" s="11" t="str">
        <x:v>Automated assertion completed without an exception.</x:v>
      </x:c>
      <x:c r="J79" s="11" t="str">
        <x:v>Pass</x:v>
      </x:c>
      <x:c r="K79" s="11" t="str">
        <x:v>High</x:v>
      </x:c>
      <x:c r="L79" s="11" t="str"/>
      <x:c r="M79" s="11" t="str">
        <x:v>Windows 11; Flutter 3.44.6; Dart 3.12.2; widget test</x:v>
      </x:c>
      <x:c r="N79" s="11" t="str">
        <x:v>EV-UI-002; EV-TEST-001</x:v>
      </x:c>
      <x:c r="O79" s="11" t="str">
        <x:v>Executed in the complete Flutter test run.</x:v>
      </x:c>
    </x:row>
    <x:row r="80">
      <x:c r="A80" s="11" t="str">
        <x:v>AUT-079</x:v>
      </x:c>
      <x:c r="B80" s="11" t="str">
        <x:v>Design System</x:v>
      </x:c>
      <x:c r="C80" s="11" t="str">
        <x:v>Material icon assets are enabled</x:v>
      </x:c>
      <x:c r="D80" s="11" t="str">
        <x:v>Verify the automated contract: Material icon assets are enabled.</x:v>
      </x:c>
      <x:c r="E80" s="11" t="str">
        <x:v>Dependencies resolved; Flutter test binding available.</x:v>
      </x:c>
      <x:c r="F80" s="11" t="str">
        <x:v>Local fictional fixtures and bundled assets only.</x:v>
      </x:c>
      <x:c r="G80" s="11" t="str">
        <x:v>1. Run flutter test test/icon_system_test.dart.
2. Execute the test case named 'Material icon assets are enabled'.
3. Compare assertions and captured exceptions.</x:v>
      </x:c>
      <x:c r="H80" s="11" t="str">
        <x:v>All declared assertions pass without uncaught exceptions.</x:v>
      </x:c>
      <x:c r="I80" s="11" t="str">
        <x:v>Automated assertion completed without an exception.</x:v>
      </x:c>
      <x:c r="J80" s="11" t="str">
        <x:v>Pass</x:v>
      </x:c>
      <x:c r="K80" s="11" t="str">
        <x:v>Medium</x:v>
      </x:c>
      <x:c r="L80" s="11" t="str"/>
      <x:c r="M80" s="11" t="str">
        <x:v>Windows 11; Flutter 3.44.6; Dart 3.12.2; widget test</x:v>
      </x:c>
      <x:c r="N80" s="11" t="str">
        <x:v>EV-TEST-001</x:v>
      </x:c>
      <x:c r="O80" s="11" t="str">
        <x:v>Executed in the complete Flutter test run.</x:v>
      </x:c>
    </x:row>
    <x:row r="81">
      <x:c r="A81" s="11" t="str">
        <x:v>AUT-080</x:v>
      </x:c>
      <x:c r="B81" s="11" t="str">
        <x:v>Design System</x:v>
      </x:c>
      <x:c r="C81" s="11" t="str">
        <x:v>source does not depend on undeclared or raw icon fonts</x:v>
      </x:c>
      <x:c r="D81" s="11" t="str">
        <x:v>Verify the automated contract: source does not depend on undeclared or raw icon fonts.</x:v>
      </x:c>
      <x:c r="E81" s="11" t="str">
        <x:v>Dependencies resolved; Flutter test binding available.</x:v>
      </x:c>
      <x:c r="F81" s="11" t="str">
        <x:v>Local fictional fixtures and bundled assets only.</x:v>
      </x:c>
      <x:c r="G81" s="11" t="str">
        <x:v>1. Run flutter test test/icon_system_test.dart.
2. Execute the test case named 'source does not depend on undeclared or raw icon fonts'.
3. Compare assertions and captured exceptions.</x:v>
      </x:c>
      <x:c r="H81" s="11" t="str">
        <x:v>All declared assertions pass without uncaught exceptions.</x:v>
      </x:c>
      <x:c r="I81" s="11" t="str">
        <x:v>Automated assertion completed without an exception.</x:v>
      </x:c>
      <x:c r="J81" s="11" t="str">
        <x:v>Pass</x:v>
      </x:c>
      <x:c r="K81" s="11" t="str">
        <x:v>Medium</x:v>
      </x:c>
      <x:c r="L81" s="11" t="str"/>
      <x:c r="M81" s="11" t="str">
        <x:v>Windows 11; Flutter 3.44.6; Dart 3.12.2; widget test</x:v>
      </x:c>
      <x:c r="N81" s="11" t="str">
        <x:v>EV-TEST-001</x:v>
      </x:c>
      <x:c r="O81" s="11" t="str">
        <x:v>Executed in the complete Flutter test run.</x:v>
      </x:c>
    </x:row>
    <x:row r="82">
      <x:c r="A82" s="11" t="str">
        <x:v>AUT-081</x:v>
      </x:c>
      <x:c r="B82" s="11" t="str">
        <x:v>Design System</x:v>
      </x:c>
      <x:c r="C82" s="11" t="str">
        <x:v>Amora semantic icons use the bundled Material icon font</x:v>
      </x:c>
      <x:c r="D82" s="11" t="str">
        <x:v>Verify the automated contract: Amora semantic icons use the bundled Material icon font.</x:v>
      </x:c>
      <x:c r="E82" s="11" t="str">
        <x:v>Dependencies resolved; Flutter test binding available.</x:v>
      </x:c>
      <x:c r="F82" s="11" t="str">
        <x:v>Local fictional fixtures and bundled assets only.</x:v>
      </x:c>
      <x:c r="G82" s="11" t="str">
        <x:v>1. Run flutter test test/icon_system_test.dart.
2. Execute the test case named 'Amora semantic icons use the bundled Material icon font'.
3. Compare assertions and captured exceptions.</x:v>
      </x:c>
      <x:c r="H82" s="11" t="str">
        <x:v>All declared assertions pass without uncaught exceptions.</x:v>
      </x:c>
      <x:c r="I82" s="11" t="str">
        <x:v>Automated assertion completed without an exception.</x:v>
      </x:c>
      <x:c r="J82" s="11" t="str">
        <x:v>Pass</x:v>
      </x:c>
      <x:c r="K82" s="11" t="str">
        <x:v>Medium</x:v>
      </x:c>
      <x:c r="L82" s="11" t="str"/>
      <x:c r="M82" s="11" t="str">
        <x:v>Windows 11; Flutter 3.44.6; Dart 3.12.2; widget test</x:v>
      </x:c>
      <x:c r="N82" s="11" t="str">
        <x:v>EV-TEST-001</x:v>
      </x:c>
      <x:c r="O82" s="11" t="str">
        <x:v>Executed in the complete Flutter test run.</x:v>
      </x:c>
    </x:row>
    <x:row r="83">
      <x:c r="A83" s="11" t="str">
        <x:v>AUT-082</x:v>
      </x:c>
      <x:c r="B83" s="11" t="str">
        <x:v>AI Matches</x:v>
      </x:c>
      <x:c r="C83" s="11" t="str">
        <x:v>renders the premium AI hierarchy without overflow at 320px</x:v>
      </x:c>
      <x:c r="D83" s="11" t="str">
        <x:v>Verify the automated contract: renders the premium AI hierarchy without overflow at 320px.</x:v>
      </x:c>
      <x:c r="E83" s="11" t="str">
        <x:v>Dependencies resolved; Flutter test binding available.</x:v>
      </x:c>
      <x:c r="F83" s="11" t="str">
        <x:v>Local fictional fixtures and bundled assets only.</x:v>
      </x:c>
      <x:c r="G83" s="11" t="str">
        <x:v>1. Run flutter test test/matches_screen_test.dart.
2. Execute the testWidgets case named 'renders the premium AI hierarchy without overflow at 320px'.
3. Compare assertions and captured exceptions.</x:v>
      </x:c>
      <x:c r="H83" s="11" t="str">
        <x:v>All declared assertions pass without uncaught exceptions.</x:v>
      </x:c>
      <x:c r="I83" s="11" t="str">
        <x:v>Automated assertion completed without an exception.</x:v>
      </x:c>
      <x:c r="J83" s="11" t="str">
        <x:v>Pass</x:v>
      </x:c>
      <x:c r="K83" s="11" t="str">
        <x:v>Medium</x:v>
      </x:c>
      <x:c r="L83" s="11" t="str"/>
      <x:c r="M83" s="11" t="str">
        <x:v>Windows 11; Flutter 3.44.6; Dart 3.12.2; widget test</x:v>
      </x:c>
      <x:c r="N83" s="11" t="str">
        <x:v>EV-TEST-001</x:v>
      </x:c>
      <x:c r="O83" s="11" t="str">
        <x:v>Executed in the complete Flutter test run.</x:v>
      </x:c>
    </x:row>
    <x:row r="84">
      <x:c r="A84" s="11" t="str">
        <x:v>AUT-083</x:v>
      </x:c>
      <x:c r="B84" s="11" t="str">
        <x:v>AI Matches</x:v>
      </x:c>
      <x:c r="C84" s="11" t="str">
        <x:v>featured profile is the highest supplied score and not repeated</x:v>
      </x:c>
      <x:c r="D84" s="11" t="str">
        <x:v>Verify the automated contract: featured profile is the highest supplied score and not repeated.</x:v>
      </x:c>
      <x:c r="E84" s="11" t="str">
        <x:v>Dependencies resolved; Flutter test binding available.</x:v>
      </x:c>
      <x:c r="F84" s="11" t="str">
        <x:v>Local fictional fixtures and bundled assets only.</x:v>
      </x:c>
      <x:c r="G84" s="11" t="str">
        <x:v>1. Run flutter test test/matches_screen_test.dart.
2. Execute the testWidgets case named 'featured profile is the highest supplied score and not repeated'.
3. Compare assertions and captured exceptions.</x:v>
      </x:c>
      <x:c r="H84" s="11" t="str">
        <x:v>All declared assertions pass without uncaught exceptions.</x:v>
      </x:c>
      <x:c r="I84" s="11" t="str">
        <x:v>Automated assertion completed without an exception.</x:v>
      </x:c>
      <x:c r="J84" s="11" t="str">
        <x:v>Pass</x:v>
      </x:c>
      <x:c r="K84" s="11" t="str">
        <x:v>Medium</x:v>
      </x:c>
      <x:c r="L84" s="11" t="str"/>
      <x:c r="M84" s="11" t="str">
        <x:v>Windows 11; Flutter 3.44.6; Dart 3.12.2; widget test</x:v>
      </x:c>
      <x:c r="N84" s="11" t="str">
        <x:v>EV-UI-005; EV-TEST-001</x:v>
      </x:c>
      <x:c r="O84" s="11" t="str">
        <x:v>Executed in the complete Flutter test run.</x:v>
      </x:c>
    </x:row>
    <x:row r="85">
      <x:c r="A85" s="11" t="str">
        <x:v>AUT-084</x:v>
      </x:c>
      <x:c r="B85" s="11" t="str">
        <x:v>AI Matches</x:v>
      </x:c>
      <x:c r="C85" s="11" t="str">
        <x:v>supported filters use existing profile fields</x:v>
      </x:c>
      <x:c r="D85" s="11" t="str">
        <x:v>Verify the automated contract: supported filters use existing profile fields.</x:v>
      </x:c>
      <x:c r="E85" s="11" t="str">
        <x:v>Dependencies resolved; Flutter test binding available.</x:v>
      </x:c>
      <x:c r="F85" s="11" t="str">
        <x:v>Local fictional fixtures and bundled assets only.</x:v>
      </x:c>
      <x:c r="G85" s="11" t="str">
        <x:v>1. Run flutter test test/matches_screen_test.dart.
2. Execute the testWidgets case named 'supported filters use existing profile fields'.
3. Compare assertions and captured exceptions.</x:v>
      </x:c>
      <x:c r="H85" s="11" t="str">
        <x:v>All declared assertions pass without uncaught exceptions.</x:v>
      </x:c>
      <x:c r="I85" s="11" t="str">
        <x:v>Automated assertion completed without an exception.</x:v>
      </x:c>
      <x:c r="J85" s="11" t="str">
        <x:v>Pass</x:v>
      </x:c>
      <x:c r="K85" s="11" t="str">
        <x:v>Medium</x:v>
      </x:c>
      <x:c r="L85" s="11" t="str"/>
      <x:c r="M85" s="11" t="str">
        <x:v>Windows 11; Flutter 3.44.6; Dart 3.12.2; widget test</x:v>
      </x:c>
      <x:c r="N85" s="11" t="str">
        <x:v>EV-UI-002; EV-TEST-001</x:v>
      </x:c>
      <x:c r="O85" s="11" t="str">
        <x:v>Executed in the complete Flutter test run.</x:v>
      </x:c>
    </x:row>
    <x:row r="86">
      <x:c r="A86" s="11" t="str">
        <x:v>AUT-085</x:v>
      </x:c>
      <x:c r="B86" s="11" t="str">
        <x:v>AI Matches</x:v>
      </x:c>
      <x:c r="C86" s="11" t="str">
        <x:v>profile and message actions preserve existing routes</x:v>
      </x:c>
      <x:c r="D86" s="11" t="str">
        <x:v>Verify the automated contract: profile and message actions preserve existing routes.</x:v>
      </x:c>
      <x:c r="E86" s="11" t="str">
        <x:v>Dependencies resolved; Flutter test binding available.</x:v>
      </x:c>
      <x:c r="F86" s="11" t="str">
        <x:v>Local fictional fixtures and bundled assets only.</x:v>
      </x:c>
      <x:c r="G86" s="11" t="str">
        <x:v>1. Run flutter test test/matches_screen_test.dart.
2. Execute the testWidgets case named 'profile and message actions preserve existing routes'.
3. Compare assertions and captured exceptions.</x:v>
      </x:c>
      <x:c r="H86" s="11" t="str">
        <x:v>All declared assertions pass without uncaught exceptions.</x:v>
      </x:c>
      <x:c r="I86" s="11" t="str">
        <x:v>Automated assertion completed without an exception.</x:v>
      </x:c>
      <x:c r="J86" s="11" t="str">
        <x:v>Pass</x:v>
      </x:c>
      <x:c r="K86" s="11" t="str">
        <x:v>Medium</x:v>
      </x:c>
      <x:c r="L86" s="11" t="str"/>
      <x:c r="M86" s="11" t="str">
        <x:v>Windows 11; Flutter 3.44.6; Dart 3.12.2; widget test</x:v>
      </x:c>
      <x:c r="N86" s="11" t="str">
        <x:v>EV-UI-005; EV-TEST-001</x:v>
      </x:c>
      <x:c r="O86" s="11" t="str">
        <x:v>Executed in the complete Flutter test run.</x:v>
      </x:c>
    </x:row>
    <x:row r="87">
      <x:c r="A87" s="11" t="str">
        <x:v>AUT-086</x:v>
      </x:c>
      <x:c r="B87" s="11" t="str">
        <x:v>AI Matches</x:v>
      </x:c>
      <x:c r="C87" s="11" t="str">
        <x:v>why recommendation sheet shows only available factors</x:v>
      </x:c>
      <x:c r="D87" s="11" t="str">
        <x:v>Verify the automated contract: why recommendation sheet shows only available factors.</x:v>
      </x:c>
      <x:c r="E87" s="11" t="str">
        <x:v>Dependencies resolved; Flutter test binding available.</x:v>
      </x:c>
      <x:c r="F87" s="11" t="str">
        <x:v>Local fictional fixtures and bundled assets only.</x:v>
      </x:c>
      <x:c r="G87" s="11" t="str">
        <x:v>1. Run flutter test test/matches_screen_test.dart.
2. Execute the testWidgets case named 'why recommendation sheet shows only available factors'.
3. Compare assertions and captured exceptions.</x:v>
      </x:c>
      <x:c r="H87" s="11" t="str">
        <x:v>All declared assertions pass without uncaught exceptions.</x:v>
      </x:c>
      <x:c r="I87" s="11" t="str">
        <x:v>Automated assertion completed without an exception.</x:v>
      </x:c>
      <x:c r="J87" s="11" t="str">
        <x:v>Pass</x:v>
      </x:c>
      <x:c r="K87" s="11" t="str">
        <x:v>Medium</x:v>
      </x:c>
      <x:c r="L87" s="11" t="str"/>
      <x:c r="M87" s="11" t="str">
        <x:v>Windows 11; Flutter 3.44.6; Dart 3.12.2; widget test</x:v>
      </x:c>
      <x:c r="N87" s="11" t="str">
        <x:v>EV-TEST-001</x:v>
      </x:c>
      <x:c r="O87" s="11" t="str">
        <x:v>Executed in the complete Flutter test run.</x:v>
      </x:c>
    </x:row>
    <x:row r="88">
      <x:c r="A88" s="11" t="str">
        <x:v>AUT-087</x:v>
      </x:c>
      <x:c r="B88" s="11" t="str">
        <x:v>AI Matches</x:v>
      </x:c>
      <x:c r="C88" s="11" t="str">
        <x:v>desktop uses a centred featured card and two-column feed</x:v>
      </x:c>
      <x:c r="D88" s="11" t="str">
        <x:v>Verify the automated contract: desktop uses a centred featured card and two-column feed.</x:v>
      </x:c>
      <x:c r="E88" s="11" t="str">
        <x:v>Dependencies resolved; Flutter test binding available.</x:v>
      </x:c>
      <x:c r="F88" s="11" t="str">
        <x:v>Local fictional fixtures and bundled assets only.</x:v>
      </x:c>
      <x:c r="G88" s="11" t="str">
        <x:v>1. Run flutter test test/matches_screen_test.dart.
2. Execute the testWidgets case named 'desktop uses a centred featured card and two-column feed'.
3. Compare assertions and captured exceptions.</x:v>
      </x:c>
      <x:c r="H88" s="11" t="str">
        <x:v>All declared assertions pass without uncaught exceptions.</x:v>
      </x:c>
      <x:c r="I88" s="11" t="str">
        <x:v>Automated assertion completed without an exception.</x:v>
      </x:c>
      <x:c r="J88" s="11" t="str">
        <x:v>Pass</x:v>
      </x:c>
      <x:c r="K88" s="11" t="str">
        <x:v>Medium</x:v>
      </x:c>
      <x:c r="L88" s="11" t="str"/>
      <x:c r="M88" s="11" t="str">
        <x:v>Windows 11; Flutter 3.44.6; Dart 3.12.2; widget test</x:v>
      </x:c>
      <x:c r="N88" s="11" t="str">
        <x:v>EV-TEST-001</x:v>
      </x:c>
      <x:c r="O88" s="11" t="str">
        <x:v>Executed in the complete Flutter test run.</x:v>
      </x:c>
    </x:row>
    <x:row r="89">
      <x:c r="A89" s="11" t="str">
        <x:v>AUT-088</x:v>
      </x:c>
      <x:c r="B89" s="11" t="str">
        <x:v>Subscription &amp; Payment</x:v>
      </x:c>
      <x:c r="C89" s="11" t="str">
        <x:v>monthly and annual test plans update the selected CTA</x:v>
      </x:c>
      <x:c r="D89" s="11" t="str">
        <x:v>Verify the automated contract: monthly and annual test plans update the selected CTA.</x:v>
      </x:c>
      <x:c r="E89" s="11" t="str">
        <x:v>Dependencies resolved; Flutter test binding available.</x:v>
      </x:c>
      <x:c r="F89" s="11" t="str">
        <x:v>Local fictional fixtures and bundled assets only.</x:v>
      </x:c>
      <x:c r="G89" s="11" t="str">
        <x:v>1. Run flutter test test/membership_test_flow_test.dart.
2. Execute the testWidgets case named 'monthly and annual test plans update the selected CTA'.
3. Compare assertions and captured exceptions.</x:v>
      </x:c>
      <x:c r="H89" s="11" t="str">
        <x:v>All declared assertions pass without uncaught exceptions.</x:v>
      </x:c>
      <x:c r="I89" s="11" t="str">
        <x:v>Skipped because AMORA_MEMBERSHIP_TEST was not enabled for the production-mode QA run.</x:v>
      </x:c>
      <x:c r="J89" s="11" t="str">
        <x:v>Not Run</x:v>
      </x:c>
      <x:c r="K89" s="11" t="str">
        <x:v>Medium</x:v>
      </x:c>
      <x:c r="L89" s="11" t="str"/>
      <x:c r="M89" s="11" t="str">
        <x:v>Windows 11; Flutter 3.44.6; Dart 3.12.2; widget test</x:v>
      </x:c>
      <x:c r="N89" s="11" t="str">
        <x:v>EV-TEST-001</x:v>
      </x:c>
      <x:c r="O89" s="11" t="str">
        <x:v>Test-only payment journey remains isolated by design.</x:v>
      </x:c>
    </x:row>
    <x:row r="90">
      <x:c r="A90" s="11" t="str">
        <x:v>AUT-089</x:v>
      </x:c>
      <x:c r="B90" s="11" t="str">
        <x:v>Subscription &amp; Payment</x:v>
      </x:c>
      <x:c r="C90" s="11" t="str">
        <x:v>simulated success remains isolated and joined event appears in My Events</x:v>
      </x:c>
      <x:c r="D90" s="11" t="str">
        <x:v>Verify the automated contract: simulated success remains isolated and joined event appears in My Events.</x:v>
      </x:c>
      <x:c r="E90" s="11" t="str">
        <x:v>Dependencies resolved; Flutter test binding available.</x:v>
      </x:c>
      <x:c r="F90" s="11" t="str">
        <x:v>Local fictional fixtures and bundled assets only.</x:v>
      </x:c>
      <x:c r="G90" s="11" t="str">
        <x:v>1. Run flutter test test/membership_test_flow_test.dart.
2. Execute the testWidgets case named 'simulated success remains isolated and joined event appears in My Events'.
3. Compare assertions and captured exceptions.</x:v>
      </x:c>
      <x:c r="H90" s="11" t="str">
        <x:v>All declared assertions pass without uncaught exceptions.</x:v>
      </x:c>
      <x:c r="I90" s="11" t="str">
        <x:v>Skipped because AMORA_MEMBERSHIP_TEST was not enabled for the production-mode QA run.</x:v>
      </x:c>
      <x:c r="J90" s="11" t="str">
        <x:v>Not Run</x:v>
      </x:c>
      <x:c r="K90" s="11" t="str">
        <x:v>Medium</x:v>
      </x:c>
      <x:c r="L90" s="11" t="str"/>
      <x:c r="M90" s="11" t="str">
        <x:v>Windows 11; Flutter 3.44.6; Dart 3.12.2; widget test</x:v>
      </x:c>
      <x:c r="N90" s="11" t="str">
        <x:v>EV-UI-003; EV-UI-007; EV-TEST-001</x:v>
      </x:c>
      <x:c r="O90" s="11" t="str">
        <x:v>Test-only payment journey remains isolated by design.</x:v>
      </x:c>
    </x:row>
    <x:row r="91">
      <x:c r="A91" s="11" t="str">
        <x:v>AUT-090</x:v>
      </x:c>
      <x:c r="B91" s="11" t="str">
        <x:v>Subscription &amp; Payment</x:v>
      </x:c>
      <x:c r="C91" s="11" t="str">
        <x:v>failure preserves inactive membership state</x:v>
      </x:c>
      <x:c r="D91" s="11" t="str">
        <x:v>Verify the automated contract: failure preserves inactive membership state.</x:v>
      </x:c>
      <x:c r="E91" s="11" t="str">
        <x:v>Dependencies resolved; Flutter test binding available.</x:v>
      </x:c>
      <x:c r="F91" s="11" t="str">
        <x:v>Local fictional fixtures and bundled assets only.</x:v>
      </x:c>
      <x:c r="G91" s="11" t="str">
        <x:v>1. Run flutter test test/membership_test_flow_test.dart.
2. Execute the testWidgets case named 'failure preserves inactive membership state'.
3. Compare assertions and captured exceptions.</x:v>
      </x:c>
      <x:c r="H91" s="11" t="str">
        <x:v>All declared assertions pass without uncaught exceptions.</x:v>
      </x:c>
      <x:c r="I91" s="11" t="str">
        <x:v>Skipped because AMORA_MEMBERSHIP_TEST was not enabled for the production-mode QA run.</x:v>
      </x:c>
      <x:c r="J91" s="11" t="str">
        <x:v>Not Run</x:v>
      </x:c>
      <x:c r="K91" s="11" t="str">
        <x:v>Medium</x:v>
      </x:c>
      <x:c r="L91" s="11" t="str"/>
      <x:c r="M91" s="11" t="str">
        <x:v>Windows 11; Flutter 3.44.6; Dart 3.12.2; widget test</x:v>
      </x:c>
      <x:c r="N91" s="11" t="str">
        <x:v>EV-TEST-001</x:v>
      </x:c>
      <x:c r="O91" s="11" t="str">
        <x:v>Test-only payment journey remains isolated by design.</x:v>
      </x:c>
    </x:row>
    <x:row r="92">
      <x:c r="A92" s="11" t="str">
        <x:v>AUT-091</x:v>
      </x:c>
      <x:c r="B92" s="11" t="str">
        <x:v>Subscription &amp; Payment</x:v>
      </x:c>
      <x:c r="C92" s="11" t="str">
        <x:v>cancelled preserves inactive membership state</x:v>
      </x:c>
      <x:c r="D92" s="11" t="str">
        <x:v>Verify the automated contract: cancelled preserves inactive membership state.</x:v>
      </x:c>
      <x:c r="E92" s="11" t="str">
        <x:v>Dependencies resolved; Flutter test binding available.</x:v>
      </x:c>
      <x:c r="F92" s="11" t="str">
        <x:v>Local fictional fixtures and bundled assets only.</x:v>
      </x:c>
      <x:c r="G92" s="11" t="str">
        <x:v>1. Run flutter test test/membership_test_flow_test.dart.
2. Execute the testWidgets case named 'cancelled preserves inactive membership state'.
3. Compare assertions and captured exceptions.</x:v>
      </x:c>
      <x:c r="H92" s="11" t="str">
        <x:v>All declared assertions pass without uncaught exceptions.</x:v>
      </x:c>
      <x:c r="I92" s="11" t="str">
        <x:v>Skipped because AMORA_MEMBERSHIP_TEST was not enabled for the production-mode QA run.</x:v>
      </x:c>
      <x:c r="J92" s="11" t="str">
        <x:v>Not Run</x:v>
      </x:c>
      <x:c r="K92" s="11" t="str">
        <x:v>Medium</x:v>
      </x:c>
      <x:c r="L92" s="11" t="str"/>
      <x:c r="M92" s="11" t="str">
        <x:v>Windows 11; Flutter 3.44.6; Dart 3.12.2; widget test</x:v>
      </x:c>
      <x:c r="N92" s="11" t="str">
        <x:v>EV-TEST-001</x:v>
      </x:c>
      <x:c r="O92" s="11" t="str">
        <x:v>Test-only payment journey remains isolated by design.</x:v>
      </x:c>
    </x:row>
    <x:row r="93">
      <x:c r="A93" s="11" t="str">
        <x:v>AUT-092</x:v>
      </x:c>
      <x:c r="B93" s="11" t="str">
        <x:v>Subscription &amp; Payment</x:v>
      </x:c>
      <x:c r="C93" s="11" t="str">
        <x:v>pending preserves inactive membership state</x:v>
      </x:c>
      <x:c r="D93" s="11" t="str">
        <x:v>Verify the automated contract: pending preserves inactive membership state.</x:v>
      </x:c>
      <x:c r="E93" s="11" t="str">
        <x:v>Dependencies resolved; Flutter test binding available.</x:v>
      </x:c>
      <x:c r="F93" s="11" t="str">
        <x:v>Local fictional fixtures and bundled assets only.</x:v>
      </x:c>
      <x:c r="G93" s="11" t="str">
        <x:v>1. Run flutter test test/membership_test_flow_test.dart.
2. Execute the testWidgets case named 'pending preserves inactive membership state'.
3. Compare assertions and captured exceptions.</x:v>
      </x:c>
      <x:c r="H93" s="11" t="str">
        <x:v>All declared assertions pass without uncaught exceptions.</x:v>
      </x:c>
      <x:c r="I93" s="11" t="str">
        <x:v>Skipped because AMORA_MEMBERSHIP_TEST was not enabled for the production-mode QA run.</x:v>
      </x:c>
      <x:c r="J93" s="11" t="str">
        <x:v>Not Run</x:v>
      </x:c>
      <x:c r="K93" s="11" t="str">
        <x:v>Medium</x:v>
      </x:c>
      <x:c r="L93" s="11" t="str"/>
      <x:c r="M93" s="11" t="str">
        <x:v>Windows 11; Flutter 3.44.6; Dart 3.12.2; widget test</x:v>
      </x:c>
      <x:c r="N93" s="11" t="str">
        <x:v>EV-TEST-001</x:v>
      </x:c>
      <x:c r="O93" s="11" t="str">
        <x:v>Test-only payment journey remains isolated by design.</x:v>
      </x:c>
    </x:row>
    <x:row r="94">
      <x:c r="A94" s="11" t="str">
        <x:v>AUT-093</x:v>
      </x:c>
      <x:c r="B94" s="11" t="str">
        <x:v>Notifications</x:v>
      </x:c>
      <x:c r="C94" s="11" t="str">
        <x:v>renders the premium notification timeline at 320px</x:v>
      </x:c>
      <x:c r="D94" s="11" t="str">
        <x:v>Verify the automated contract: renders the premium notification timeline at 320px.</x:v>
      </x:c>
      <x:c r="E94" s="11" t="str">
        <x:v>Dependencies resolved; Flutter test binding available.</x:v>
      </x:c>
      <x:c r="F94" s="11" t="str">
        <x:v>Local fictional fixtures and bundled assets only.</x:v>
      </x:c>
      <x:c r="G94" s="11" t="str">
        <x:v>1. Run flutter test test/notifications_screen_test.dart.
2. Execute the testWidgets case named 'renders the premium notification timeline at 320px'.
3. Compare assertions and captured exceptions.</x:v>
      </x:c>
      <x:c r="H94" s="11" t="str">
        <x:v>All declared assertions pass without uncaught exceptions.</x:v>
      </x:c>
      <x:c r="I94" s="11" t="str">
        <x:v>Automated assertion completed without an exception.</x:v>
      </x:c>
      <x:c r="J94" s="11" t="str">
        <x:v>Pass</x:v>
      </x:c>
      <x:c r="K94" s="11" t="str">
        <x:v>Medium</x:v>
      </x:c>
      <x:c r="L94" s="11" t="str"/>
      <x:c r="M94" s="11" t="str">
        <x:v>Windows 11; Flutter 3.44.6; Dart 3.12.2; widget test</x:v>
      </x:c>
      <x:c r="N94" s="11" t="str">
        <x:v>EV-TEST-001</x:v>
      </x:c>
      <x:c r="O94" s="11" t="str">
        <x:v>Executed in the complete Flutter test run.</x:v>
      </x:c>
    </x:row>
    <x:row r="95">
      <x:c r="A95" s="11" t="str">
        <x:v>AUT-094</x:v>
      </x:c>
      <x:c r="B95" s="11" t="str">
        <x:v>Notifications</x:v>
      </x:c>
      <x:c r="C95" s="11" t="str">
        <x:v>settings opens existing notification preferences route</x:v>
      </x:c>
      <x:c r="D95" s="11" t="str">
        <x:v>Verify the automated contract: settings opens existing notification preferences route.</x:v>
      </x:c>
      <x:c r="E95" s="11" t="str">
        <x:v>Dependencies resolved; Flutter test binding available.</x:v>
      </x:c>
      <x:c r="F95" s="11" t="str">
        <x:v>Local fictional fixtures and bundled assets only.</x:v>
      </x:c>
      <x:c r="G95" s="11" t="str">
        <x:v>1. Run flutter test test/notifications_screen_test.dart.
2. Execute the testWidgets case named 'settings opens existing notification preferences route'.
3. Compare assertions and captured exceptions.</x:v>
      </x:c>
      <x:c r="H95" s="11" t="str">
        <x:v>All declared assertions pass without uncaught exceptions.</x:v>
      </x:c>
      <x:c r="I95" s="11" t="str">
        <x:v>Automated assertion completed without an exception.</x:v>
      </x:c>
      <x:c r="J95" s="11" t="str">
        <x:v>Pass</x:v>
      </x:c>
      <x:c r="K95" s="11" t="str">
        <x:v>Medium</x:v>
      </x:c>
      <x:c r="L95" s="11" t="str"/>
      <x:c r="M95" s="11" t="str">
        <x:v>Windows 11; Flutter 3.44.6; Dart 3.12.2; widget test</x:v>
      </x:c>
      <x:c r="N95" s="11" t="str">
        <x:v>EV-TEST-001</x:v>
      </x:c>
      <x:c r="O95" s="11" t="str">
        <x:v>Executed in the complete Flutter test run.</x:v>
      </x:c>
    </x:row>
    <x:row r="96">
      <x:c r="A96" s="11" t="str">
        <x:v>AUT-095</x:v>
      </x:c>
      <x:c r="B96" s="11" t="str">
        <x:v>Notifications</x:v>
      </x:c>
      <x:c r="C96" s="11" t="str">
        <x:v>filters are horizontal and Unread updates the local feed</x:v>
      </x:c>
      <x:c r="D96" s="11" t="str">
        <x:v>Verify the automated contract: filters are horizontal and Unread updates the local feed.</x:v>
      </x:c>
      <x:c r="E96" s="11" t="str">
        <x:v>Dependencies resolved; Flutter test binding available.</x:v>
      </x:c>
      <x:c r="F96" s="11" t="str">
        <x:v>Local fictional fixtures and bundled assets only.</x:v>
      </x:c>
      <x:c r="G96" s="11" t="str">
        <x:v>1. Run flutter test test/notifications_screen_test.dart.
2. Execute the testWidgets case named 'filters are horizontal and Unread updates the local feed'.
3. Compare assertions and captured exceptions.</x:v>
      </x:c>
      <x:c r="H96" s="11" t="str">
        <x:v>All declared assertions pass without uncaught exceptions.</x:v>
      </x:c>
      <x:c r="I96" s="11" t="str">
        <x:v>Automated assertion completed without an exception.</x:v>
      </x:c>
      <x:c r="J96" s="11" t="str">
        <x:v>Pass</x:v>
      </x:c>
      <x:c r="K96" s="11" t="str">
        <x:v>Medium</x:v>
      </x:c>
      <x:c r="L96" s="11" t="str"/>
      <x:c r="M96" s="11" t="str">
        <x:v>Windows 11; Flutter 3.44.6; Dart 3.12.2; widget test</x:v>
      </x:c>
      <x:c r="N96" s="11" t="str">
        <x:v>EV-UI-002; EV-TEST-001</x:v>
      </x:c>
      <x:c r="O96" s="11" t="str">
        <x:v>Executed in the complete Flutter test run.</x:v>
      </x:c>
    </x:row>
    <x:row r="97">
      <x:c r="A97" s="11" t="str">
        <x:v>AUT-096</x:v>
      </x:c>
      <x:c r="B97" s="11" t="str">
        <x:v>Notifications</x:v>
      </x:c>
      <x:c r="C97" s="11" t="str">
        <x:v>swipe right marks read and swipe left deletes</x:v>
      </x:c>
      <x:c r="D97" s="11" t="str">
        <x:v>Verify the automated contract: swipe right marks read and swipe left deletes.</x:v>
      </x:c>
      <x:c r="E97" s="11" t="str">
        <x:v>Dependencies resolved; Flutter test binding available.</x:v>
      </x:c>
      <x:c r="F97" s="11" t="str">
        <x:v>Local fictional fixtures and bundled assets only.</x:v>
      </x:c>
      <x:c r="G97" s="11" t="str">
        <x:v>1. Run flutter test test/notifications_screen_test.dart.
2. Execute the testWidgets case named 'swipe right marks read and swipe left deletes'.
3. Compare assertions and captured exceptions.</x:v>
      </x:c>
      <x:c r="H97" s="11" t="str">
        <x:v>All declared assertions pass without uncaught exceptions.</x:v>
      </x:c>
      <x:c r="I97" s="11" t="str">
        <x:v>Automated assertion completed without an exception.</x:v>
      </x:c>
      <x:c r="J97" s="11" t="str">
        <x:v>Pass</x:v>
      </x:c>
      <x:c r="K97" s="11" t="str">
        <x:v>Medium</x:v>
      </x:c>
      <x:c r="L97" s="11" t="str"/>
      <x:c r="M97" s="11" t="str">
        <x:v>Windows 11; Flutter 3.44.6; Dart 3.12.2; widget test</x:v>
      </x:c>
      <x:c r="N97" s="11" t="str">
        <x:v>EV-TEST-001</x:v>
      </x:c>
      <x:c r="O97" s="11" t="str">
        <x:v>Executed in the complete Flutter test run.</x:v>
      </x:c>
    </x:row>
    <x:row r="98">
      <x:c r="A98" s="11" t="str">
        <x:v>AUT-097</x:v>
      </x:c>
      <x:c r="B98" s="11" t="str">
        <x:v>Notifications</x:v>
      </x:c>
      <x:c r="C98" s="11" t="str">
        <x:v>long press enters multi-select mode</x:v>
      </x:c>
      <x:c r="D98" s="11" t="str">
        <x:v>Verify the automated contract: long press enters multi-select mode.</x:v>
      </x:c>
      <x:c r="E98" s="11" t="str">
        <x:v>Dependencies resolved; Flutter test binding available.</x:v>
      </x:c>
      <x:c r="F98" s="11" t="str">
        <x:v>Local fictional fixtures and bundled assets only.</x:v>
      </x:c>
      <x:c r="G98" s="11" t="str">
        <x:v>1. Run flutter test test/notifications_screen_test.dart.
2. Execute the testWidgets case named 'long press enters multi-select mode'.
3. Compare assertions and captured exceptions.</x:v>
      </x:c>
      <x:c r="H98" s="11" t="str">
        <x:v>All declared assertions pass without uncaught exceptions.</x:v>
      </x:c>
      <x:c r="I98" s="11" t="str">
        <x:v>Automated assertion completed without an exception.</x:v>
      </x:c>
      <x:c r="J98" s="11" t="str">
        <x:v>Pass</x:v>
      </x:c>
      <x:c r="K98" s="11" t="str">
        <x:v>Medium</x:v>
      </x:c>
      <x:c r="L98" s="11" t="str"/>
      <x:c r="M98" s="11" t="str">
        <x:v>Windows 11; Flutter 3.44.6; Dart 3.12.2; widget test</x:v>
      </x:c>
      <x:c r="N98" s="11" t="str">
        <x:v>EV-TEST-001</x:v>
      </x:c>
      <x:c r="O98" s="11" t="str">
        <x:v>Executed in the complete Flutter test run.</x:v>
      </x:c>
    </x:row>
    <x:row r="99">
      <x:c r="A99" s="11" t="str">
        <x:v>AUT-098</x:v>
      </x:c>
      <x:c r="B99" s="11" t="str">
        <x:v>Notifications</x:v>
      </x:c>
      <x:c r="C99" s="11" t="str">
        <x:v>notification tap opens its existing related route</x:v>
      </x:c>
      <x:c r="D99" s="11" t="str">
        <x:v>Verify the automated contract: notification tap opens its existing related route.</x:v>
      </x:c>
      <x:c r="E99" s="11" t="str">
        <x:v>Dependencies resolved; Flutter test binding available.</x:v>
      </x:c>
      <x:c r="F99" s="11" t="str">
        <x:v>Local fictional fixtures and bundled assets only.</x:v>
      </x:c>
      <x:c r="G99" s="11" t="str">
        <x:v>1. Run flutter test test/notifications_screen_test.dart.
2. Execute the testWidgets case named 'notification tap opens its existing related route'.
3. Compare assertions and captured exceptions.</x:v>
      </x:c>
      <x:c r="H99" s="11" t="str">
        <x:v>All declared assertions pass without uncaught exceptions.</x:v>
      </x:c>
      <x:c r="I99" s="11" t="str">
        <x:v>Automated assertion completed without an exception.</x:v>
      </x:c>
      <x:c r="J99" s="11" t="str">
        <x:v>Pass</x:v>
      </x:c>
      <x:c r="K99" s="11" t="str">
        <x:v>Medium</x:v>
      </x:c>
      <x:c r="L99" s="11" t="str"/>
      <x:c r="M99" s="11" t="str">
        <x:v>Windows 11; Flutter 3.44.6; Dart 3.12.2; widget test</x:v>
      </x:c>
      <x:c r="N99" s="11" t="str">
        <x:v>EV-TEST-001</x:v>
      </x:c>
      <x:c r="O99" s="11" t="str">
        <x:v>Executed in the complete Flutter test run.</x:v>
      </x:c>
    </x:row>
    <x:row r="100">
      <x:c r="A100" s="11" t="str">
        <x:v>AUT-099</x:v>
      </x:c>
      <x:c r="B100" s="11" t="str">
        <x:v>Notifications</x:v>
      </x:c>
      <x:c r="C100" s="11" t="str">
        <x:v>desktop notification center remains centred and constrained</x:v>
      </x:c>
      <x:c r="D100" s="11" t="str">
        <x:v>Verify the automated contract: desktop notification center remains centred and constrained.</x:v>
      </x:c>
      <x:c r="E100" s="11" t="str">
        <x:v>Dependencies resolved; Flutter test binding available.</x:v>
      </x:c>
      <x:c r="F100" s="11" t="str">
        <x:v>Local fictional fixtures and bundled assets only.</x:v>
      </x:c>
      <x:c r="G100" s="11" t="str">
        <x:v>1. Run flutter test test/notifications_screen_test.dart.
2. Execute the testWidgets case named 'desktop notification center remains centred and constrained'.
3. Compare assertions and captured exceptions.</x:v>
      </x:c>
      <x:c r="H100" s="11" t="str">
        <x:v>All declared assertions pass without uncaught exceptions.</x:v>
      </x:c>
      <x:c r="I100" s="11" t="str">
        <x:v>Automated assertion completed without an exception.</x:v>
      </x:c>
      <x:c r="J100" s="11" t="str">
        <x:v>Pass</x:v>
      </x:c>
      <x:c r="K100" s="11" t="str">
        <x:v>Medium</x:v>
      </x:c>
      <x:c r="L100" s="11" t="str"/>
      <x:c r="M100" s="11" t="str">
        <x:v>Windows 11; Flutter 3.44.6; Dart 3.12.2; widget test</x:v>
      </x:c>
      <x:c r="N100" s="11" t="str">
        <x:v>EV-TEST-001</x:v>
      </x:c>
      <x:c r="O100" s="11" t="str">
        <x:v>Executed in the complete Flutter test run.</x:v>
      </x:c>
    </x:row>
    <x:row r="101">
      <x:c r="A101" s="11" t="str">
        <x:v>AUT-100</x:v>
      </x:c>
      <x:c r="B101" s="11" t="str">
        <x:v>Onboarding</x:v>
      </x:c>
      <x:c r="C101" s="11" t="str">
        <x:v>successful sign in resumes an incomplete saved question</x:v>
      </x:c>
      <x:c r="D101" s="11" t="str">
        <x:v>Verify the automated contract: successful sign in resumes an incomplete saved question.</x:v>
      </x:c>
      <x:c r="E101" s="11" t="str">
        <x:v>Dependencies resolved; Flutter test binding available.</x:v>
      </x:c>
      <x:c r="F101" s="11" t="str">
        <x:v>Local fictional fixtures and bundled assets only.</x:v>
      </x:c>
      <x:c r="G101" s="11" t="str">
        <x:v>1. Run flutter test test/onboarding_profile_flow_test.dart.
2. Execute the testWidgets case named 'successful sign in resumes an incomplete saved question'.
3. Compare assertions and captured exceptions.</x:v>
      </x:c>
      <x:c r="H101" s="11" t="str">
        <x:v>All declared assertions pass without uncaught exceptions.</x:v>
      </x:c>
      <x:c r="I101" s="11" t="str">
        <x:v>Automated assertion completed without an exception.</x:v>
      </x:c>
      <x:c r="J101" s="11" t="str">
        <x:v>Pass</x:v>
      </x:c>
      <x:c r="K101" s="11" t="str">
        <x:v>High</x:v>
      </x:c>
      <x:c r="L101" s="11" t="str"/>
      <x:c r="M101" s="11" t="str">
        <x:v>Windows 11; Flutter 3.44.6; Dart 3.12.2; widget test</x:v>
      </x:c>
      <x:c r="N101" s="11" t="str">
        <x:v>EV-TEST-001</x:v>
      </x:c>
      <x:c r="O101" s="11" t="str">
        <x:v>Executed in the complete Flutter test run.</x:v>
      </x:c>
    </x:row>
    <x:row r="102">
      <x:c r="A102" s="11" t="str">
        <x:v>AUT-101</x:v>
      </x:c>
      <x:c r="B102" s="11" t="str">
        <x:v>Onboarding</x:v>
      </x:c>
      <x:c r="C102" s="11" t="str">
        <x:v>completed onboarding routes returning users to Discover</x:v>
      </x:c>
      <x:c r="D102" s="11" t="str">
        <x:v>Verify the automated contract: completed onboarding routes returning users to Discover.</x:v>
      </x:c>
      <x:c r="E102" s="11" t="str">
        <x:v>Dependencies resolved; Flutter test binding available.</x:v>
      </x:c>
      <x:c r="F102" s="11" t="str">
        <x:v>Local fictional fixtures and bundled assets only.</x:v>
      </x:c>
      <x:c r="G102" s="11" t="str">
        <x:v>1. Run flutter test test/onboarding_profile_flow_test.dart.
2. Execute the testWidgets case named 'completed onboarding routes returning users to Discover'.
3. Compare assertions and captured exceptions.</x:v>
      </x:c>
      <x:c r="H102" s="11" t="str">
        <x:v>All declared assertions pass without uncaught exceptions.</x:v>
      </x:c>
      <x:c r="I102" s="11" t="str">
        <x:v>Automated assertion completed without an exception.</x:v>
      </x:c>
      <x:c r="J102" s="11" t="str">
        <x:v>Pass</x:v>
      </x:c>
      <x:c r="K102" s="11" t="str">
        <x:v>High</x:v>
      </x:c>
      <x:c r="L102" s="11" t="str"/>
      <x:c r="M102" s="11" t="str">
        <x:v>Windows 11; Flutter 3.44.6; Dart 3.12.2; widget test</x:v>
      </x:c>
      <x:c r="N102" s="11" t="str">
        <x:v>EV-UI-002; EV-TEST-001</x:v>
      </x:c>
      <x:c r="O102" s="11" t="str">
        <x:v>Executed in the complete Flutter test run.</x:v>
      </x:c>
    </x:row>
    <x:row r="103">
      <x:c r="A103" s="11" t="str">
        <x:v>AUT-102</x:v>
      </x:c>
      <x:c r="B103" s="11" t="str">
        <x:v>Onboarding</x:v>
      </x:c>
      <x:c r="C103" s="11" t="str">
        <x:v>authentication entry exposes Sign In and Create Account</x:v>
      </x:c>
      <x:c r="D103" s="11" t="str">
        <x:v>Verify the automated contract: authentication entry exposes Sign In and Create Account.</x:v>
      </x:c>
      <x:c r="E103" s="11" t="str">
        <x:v>Dependencies resolved; Flutter test binding available.</x:v>
      </x:c>
      <x:c r="F103" s="11" t="str">
        <x:v>Local fictional fixtures and bundled assets only.</x:v>
      </x:c>
      <x:c r="G103" s="11" t="str">
        <x:v>1. Run flutter test test/onboarding_profile_flow_test.dart.
2. Execute the testWidgets case named 'authentication entry exposes Sign In and Create Account'.
3. Compare assertions and captured exceptions.</x:v>
      </x:c>
      <x:c r="H103" s="11" t="str">
        <x:v>All declared assertions pass without uncaught exceptions.</x:v>
      </x:c>
      <x:c r="I103" s="11" t="str">
        <x:v>Automated assertion completed without an exception.</x:v>
      </x:c>
      <x:c r="J103" s="11" t="str">
        <x:v>Pass</x:v>
      </x:c>
      <x:c r="K103" s="11" t="str">
        <x:v>High</x:v>
      </x:c>
      <x:c r="L103" s="11" t="str"/>
      <x:c r="M103" s="11" t="str">
        <x:v>Windows 11; Flutter 3.44.6; Dart 3.12.2; widget test</x:v>
      </x:c>
      <x:c r="N103" s="11" t="str">
        <x:v>EV-UI-001; EV-TEST-001</x:v>
      </x:c>
      <x:c r="O103" s="11" t="str">
        <x:v>Executed in the complete Flutter test run.</x:v>
      </x:c>
    </x:row>
    <x:row r="104">
      <x:c r="A104" s="11" t="str">
        <x:v>AUT-103</x:v>
      </x:c>
      <x:c r="B104" s="11" t="str">
        <x:v>Onboarding</x:v>
      </x:c>
      <x:c r="C104" s="11" t="str">
        <x:v>quick onboarding includes birth date and opens Discover</x:v>
      </x:c>
      <x:c r="D104" s="11" t="str">
        <x:v>Verify the automated contract: quick onboarding includes birth date and opens Discover.</x:v>
      </x:c>
      <x:c r="E104" s="11" t="str">
        <x:v>Dependencies resolved; Flutter test binding available.</x:v>
      </x:c>
      <x:c r="F104" s="11" t="str">
        <x:v>Local fictional fixtures and bundled assets only.</x:v>
      </x:c>
      <x:c r="G104" s="11" t="str">
        <x:v>1. Run flutter test test/onboarding_profile_flow_test.dart.
2. Execute the testWidgets case named 'quick onboarding includes birth date and opens Discover'.
3. Compare assertions and captured exceptions.</x:v>
      </x:c>
      <x:c r="H104" s="11" t="str">
        <x:v>All declared assertions pass without uncaught exceptions.</x:v>
      </x:c>
      <x:c r="I104" s="11" t="str">
        <x:v>Automated assertion completed without an exception.</x:v>
      </x:c>
      <x:c r="J104" s="11" t="str">
        <x:v>Pass</x:v>
      </x:c>
      <x:c r="K104" s="11" t="str">
        <x:v>High</x:v>
      </x:c>
      <x:c r="L104" s="11" t="str"/>
      <x:c r="M104" s="11" t="str">
        <x:v>Windows 11; Flutter 3.44.6; Dart 3.12.2; widget test</x:v>
      </x:c>
      <x:c r="N104" s="11" t="str">
        <x:v>EV-UI-002; EV-TEST-001</x:v>
      </x:c>
      <x:c r="O104" s="11" t="str">
        <x:v>Executed in the complete Flutter test run.</x:v>
      </x:c>
    </x:row>
    <x:row r="105">
      <x:c r="A105" s="11" t="str">
        <x:v>AUT-104</x:v>
      </x:c>
      <x:c r="B105" s="11" t="str">
        <x:v>Onboarding</x:v>
      </x:c>
      <x:c r="C105" s="11" t="str">
        <x:v>birth date question shows inline minimum-age validation</x:v>
      </x:c>
      <x:c r="D105" s="11" t="str">
        <x:v>Verify the automated contract: birth date question shows inline minimum-age validation.</x:v>
      </x:c>
      <x:c r="E105" s="11" t="str">
        <x:v>Dependencies resolved; Flutter test binding available.</x:v>
      </x:c>
      <x:c r="F105" s="11" t="str">
        <x:v>Local fictional fixtures and bundled assets only.</x:v>
      </x:c>
      <x:c r="G105" s="11" t="str">
        <x:v>1. Run flutter test test/onboarding_profile_flow_test.dart.
2. Execute the testWidgets case named 'birth date question shows inline minimum-age validation'.
3. Compare assertions and captured exceptions.</x:v>
      </x:c>
      <x:c r="H105" s="11" t="str">
        <x:v>All declared assertions pass without uncaught exceptions.</x:v>
      </x:c>
      <x:c r="I105" s="11" t="str">
        <x:v>Automated assertion completed without an exception.</x:v>
      </x:c>
      <x:c r="J105" s="11" t="str">
        <x:v>Pass</x:v>
      </x:c>
      <x:c r="K105" s="11" t="str">
        <x:v>High</x:v>
      </x:c>
      <x:c r="L105" s="11" t="str"/>
      <x:c r="M105" s="11" t="str">
        <x:v>Windows 11; Flutter 3.44.6; Dart 3.12.2; widget test</x:v>
      </x:c>
      <x:c r="N105" s="11" t="str">
        <x:v>EV-TEST-001</x:v>
      </x:c>
      <x:c r="O105" s="11" t="str">
        <x:v>Executed in the complete Flutter test run.</x:v>
      </x:c>
    </x:row>
    <x:row r="106">
      <x:c r="A106" s="11" t="str">
        <x:v>AUT-105</x:v>
      </x:c>
      <x:c r="B106" s="11" t="str">
        <x:v>Onboarding</x:v>
      </x:c>
      <x:c r="C106" s="11" t="str">
        <x:v>birth date wheels support keyboard selection</x:v>
      </x:c>
      <x:c r="D106" s="11" t="str">
        <x:v>Verify the automated contract: birth date wheels support keyboard selection.</x:v>
      </x:c>
      <x:c r="E106" s="11" t="str">
        <x:v>Dependencies resolved; Flutter test binding available.</x:v>
      </x:c>
      <x:c r="F106" s="11" t="str">
        <x:v>Local fictional fixtures and bundled assets only.</x:v>
      </x:c>
      <x:c r="G106" s="11" t="str">
        <x:v>1. Run flutter test test/onboarding_profile_flow_test.dart.
2. Execute the testWidgets case named 'birth date wheels support keyboard selection'.
3. Compare assertions and captured exceptions.</x:v>
      </x:c>
      <x:c r="H106" s="11" t="str">
        <x:v>All declared assertions pass without uncaught exceptions.</x:v>
      </x:c>
      <x:c r="I106" s="11" t="str">
        <x:v>Automated assertion completed without an exception.</x:v>
      </x:c>
      <x:c r="J106" s="11" t="str">
        <x:v>Pass</x:v>
      </x:c>
      <x:c r="K106" s="11" t="str">
        <x:v>High</x:v>
      </x:c>
      <x:c r="L106" s="11" t="str"/>
      <x:c r="M106" s="11" t="str">
        <x:v>Windows 11; Flutter 3.44.6; Dart 3.12.2; widget test</x:v>
      </x:c>
      <x:c r="N106" s="11" t="str">
        <x:v>EV-UI-006; EV-TEST-001</x:v>
      </x:c>
      <x:c r="O106" s="11" t="str">
        <x:v>Executed in the complete Flutter test run.</x:v>
      </x:c>
    </x:row>
    <x:row r="107">
      <x:c r="A107" s="11" t="str">
        <x:v>AUT-106</x:v>
      </x:c>
      <x:c r="B107" s="11" t="str">
        <x:v>Onboarding</x:v>
      </x:c>
      <x:c r="C107" s="11" t="str">
        <x:v>saved onboarding step and answers resume</x:v>
      </x:c>
      <x:c r="D107" s="11" t="str">
        <x:v>Verify the automated contract: saved onboarding step and answers resume.</x:v>
      </x:c>
      <x:c r="E107" s="11" t="str">
        <x:v>Dependencies resolved; Flutter test binding available.</x:v>
      </x:c>
      <x:c r="F107" s="11" t="str">
        <x:v>Local fictional fixtures and bundled assets only.</x:v>
      </x:c>
      <x:c r="G107" s="11" t="str">
        <x:v>1. Run flutter test test/onboarding_profile_flow_test.dart.
2. Execute the testWidgets case named 'saved onboarding step and answers resume'.
3. Compare assertions and captured exceptions.</x:v>
      </x:c>
      <x:c r="H107" s="11" t="str">
        <x:v>All declared assertions pass without uncaught exceptions.</x:v>
      </x:c>
      <x:c r="I107" s="11" t="str">
        <x:v>Automated assertion completed without an exception.</x:v>
      </x:c>
      <x:c r="J107" s="11" t="str">
        <x:v>Pass</x:v>
      </x:c>
      <x:c r="K107" s="11" t="str">
        <x:v>High</x:v>
      </x:c>
      <x:c r="L107" s="11" t="str"/>
      <x:c r="M107" s="11" t="str">
        <x:v>Windows 11; Flutter 3.44.6; Dart 3.12.2; widget test</x:v>
      </x:c>
      <x:c r="N107" s="11" t="str">
        <x:v>EV-TEST-001</x:v>
      </x:c>
      <x:c r="O107" s="11" t="str">
        <x:v>Executed in the complete Flutter test run.</x:v>
      </x:c>
    </x:row>
    <x:row r="108">
      <x:c r="A108" s="11" t="str">
        <x:v>AUT-107</x:v>
      </x:c>
      <x:c r="B108" s="11" t="str">
        <x:v>Onboarding</x:v>
      </x:c>
      <x:c r="C108" s="11" t="str">
        <x:v>completion percentage uses transparent weighted sections</x:v>
      </x:c>
      <x:c r="D108" s="11" t="str">
        <x:v>Verify the automated contract: completion percentage uses transparent weighted sections.</x:v>
      </x:c>
      <x:c r="E108" s="11" t="str">
        <x:v>Dependencies resolved; Flutter test binding available.</x:v>
      </x:c>
      <x:c r="F108" s="11" t="str">
        <x:v>Local fictional fixtures and bundled assets only.</x:v>
      </x:c>
      <x:c r="G108" s="11" t="str">
        <x:v>1. Run flutter test test/onboarding_profile_flow_test.dart.
2. Execute the test case named 'completion percentage uses transparent weighted sections'.
3. Compare assertions and captured exceptions.</x:v>
      </x:c>
      <x:c r="H108" s="11" t="str">
        <x:v>All declared assertions pass without uncaught exceptions.</x:v>
      </x:c>
      <x:c r="I108" s="11" t="str">
        <x:v>Automated assertion completed without an exception.</x:v>
      </x:c>
      <x:c r="J108" s="11" t="str">
        <x:v>Pass</x:v>
      </x:c>
      <x:c r="K108" s="11" t="str">
        <x:v>High</x:v>
      </x:c>
      <x:c r="L108" s="11" t="str"/>
      <x:c r="M108" s="11" t="str">
        <x:v>Windows 11; Flutter 3.44.6; Dart 3.12.2; widget test</x:v>
      </x:c>
      <x:c r="N108" s="11" t="str">
        <x:v>EV-TEST-001</x:v>
      </x:c>
      <x:c r="O108" s="11" t="str">
        <x:v>Executed in the complete Flutter test run.</x:v>
      </x:c>
    </x:row>
    <x:row r="109">
      <x:c r="A109" s="11" t="str">
        <x:v>AUT-108</x:v>
      </x:c>
      <x:c r="B109" s="11" t="str">
        <x:v>Onboarding</x:v>
      </x:c>
      <x:c r="C109" s="11" t="str">
        <x:v>profile completion never blocks returning to Discover</x:v>
      </x:c>
      <x:c r="D109" s="11" t="str">
        <x:v>Verify the automated contract: profile completion never blocks returning to Discover.</x:v>
      </x:c>
      <x:c r="E109" s="11" t="str">
        <x:v>Dependencies resolved; Flutter test binding available.</x:v>
      </x:c>
      <x:c r="F109" s="11" t="str">
        <x:v>Local fictional fixtures and bundled assets only.</x:v>
      </x:c>
      <x:c r="G109" s="11" t="str">
        <x:v>1. Run flutter test test/onboarding_profile_flow_test.dart.
2. Execute the testWidgets case named 'profile completion never blocks returning to Discover'.
3. Compare assertions and captured exceptions.</x:v>
      </x:c>
      <x:c r="H109" s="11" t="str">
        <x:v>All declared assertions pass without uncaught exceptions.</x:v>
      </x:c>
      <x:c r="I109" s="11" t="str">
        <x:v>Automated assertion completed without an exception.</x:v>
      </x:c>
      <x:c r="J109" s="11" t="str">
        <x:v>Pass</x:v>
      </x:c>
      <x:c r="K109" s="11" t="str">
        <x:v>High</x:v>
      </x:c>
      <x:c r="L109" s="11" t="str"/>
      <x:c r="M109" s="11" t="str">
        <x:v>Windows 11; Flutter 3.44.6; Dart 3.12.2; widget test</x:v>
      </x:c>
      <x:c r="N109" s="11" t="str">
        <x:v>EV-UI-002; EV-TEST-001</x:v>
      </x:c>
      <x:c r="O109" s="11" t="str">
        <x:v>Executed in the complete Flutter test run.</x:v>
      </x:c>
    </x:row>
    <x:row r="110">
      <x:c r="A110" s="11" t="str">
        <x:v>AUT-109</x:v>
      </x:c>
      <x:c r="B110" s="11" t="str">
        <x:v>Onboarding</x:v>
      </x:c>
      <x:c r="C110" s="11" t="str">
        <x:v>Gujarat city catalogue is unique and alphabetically sorted</x:v>
      </x:c>
      <x:c r="D110" s="11" t="str">
        <x:v>Verify the automated contract: Gujarat city catalogue is unique and alphabetically sorted.</x:v>
      </x:c>
      <x:c r="E110" s="11" t="str">
        <x:v>Dependencies resolved; Flutter test binding available.</x:v>
      </x:c>
      <x:c r="F110" s="11" t="str">
        <x:v>Local fictional fixtures and bundled assets only.</x:v>
      </x:c>
      <x:c r="G110" s="11" t="str">
        <x:v>1. Run flutter test test/onboarding_profile_flow_test.dart.
2. Execute the test case named 'Gujarat city catalogue is unique and alphabetically sorted'.
3. Compare assertions and captured exceptions.</x:v>
      </x:c>
      <x:c r="H110" s="11" t="str">
        <x:v>All declared assertions pass without uncaught exceptions.</x:v>
      </x:c>
      <x:c r="I110" s="11" t="str">
        <x:v>Automated assertion completed without an exception.</x:v>
      </x:c>
      <x:c r="J110" s="11" t="str">
        <x:v>Pass</x:v>
      </x:c>
      <x:c r="K110" s="11" t="str">
        <x:v>High</x:v>
      </x:c>
      <x:c r="L110" s="11" t="str"/>
      <x:c r="M110" s="11" t="str">
        <x:v>Windows 11; Flutter 3.44.6; Dart 3.12.2; widget test</x:v>
      </x:c>
      <x:c r="N110" s="11" t="str">
        <x:v>EV-TEST-001</x:v>
      </x:c>
      <x:c r="O110" s="11" t="str">
        <x:v>Executed in the complete Flutter test run.</x:v>
      </x:c>
    </x:row>
    <x:row r="111">
      <x:c r="A111" s="11" t="str">
        <x:v>AUT-110</x:v>
      </x:c>
      <x:c r="B111" s="11" t="str">
        <x:v>Profile Detail</x:v>
      </x:c>
      <x:c r="C111" s="11" t="str">
        <x:v>renders immersive profile hierarchy at 320px</x:v>
      </x:c>
      <x:c r="D111" s="11" t="str">
        <x:v>Verify the automated contract: renders immersive profile hierarchy at 320px.</x:v>
      </x:c>
      <x:c r="E111" s="11" t="str">
        <x:v>Dependencies resolved; Flutter test binding available.</x:v>
      </x:c>
      <x:c r="F111" s="11" t="str">
        <x:v>Local fictional fixtures and bundled assets only.</x:v>
      </x:c>
      <x:c r="G111" s="11" t="str">
        <x:v>1. Run flutter test test/profile_detail_screen_test.dart.
2. Execute the testWidgets case named 'renders immersive profile hierarchy at 320px'.
3. Compare assertions and captured exceptions.</x:v>
      </x:c>
      <x:c r="H111" s="11" t="str">
        <x:v>All declared assertions pass without uncaught exceptions.</x:v>
      </x:c>
      <x:c r="I111" s="11" t="str">
        <x:v>Automated assertion completed without an exception.</x:v>
      </x:c>
      <x:c r="J111" s="11" t="str">
        <x:v>Pass</x:v>
      </x:c>
      <x:c r="K111" s="11" t="str">
        <x:v>Medium</x:v>
      </x:c>
      <x:c r="L111" s="11" t="str"/>
      <x:c r="M111" s="11" t="str">
        <x:v>Windows 11; Flutter 3.44.6; Dart 3.12.2; widget test</x:v>
      </x:c>
      <x:c r="N111" s="11" t="str">
        <x:v>EV-UI-002; EV-TEST-001</x:v>
      </x:c>
      <x:c r="O111" s="11" t="str">
        <x:v>Executed in the complete Flutter test run.</x:v>
      </x:c>
    </x:row>
    <x:row r="112">
      <x:c r="A112" s="11" t="str">
        <x:v>AUT-111</x:v>
      </x:c>
      <x:c r="B112" s="11" t="str">
        <x:v>Profile Detail</x:v>
      </x:c>
      <x:c r="C112" s="11" t="str">
        <x:v>gallery de-duplicates photos and swipes horizontally</x:v>
      </x:c>
      <x:c r="D112" s="11" t="str">
        <x:v>Verify the automated contract: gallery de-duplicates photos and swipes horizontally.</x:v>
      </x:c>
      <x:c r="E112" s="11" t="str">
        <x:v>Dependencies resolved; Flutter test binding available.</x:v>
      </x:c>
      <x:c r="F112" s="11" t="str">
        <x:v>Local fictional fixtures and bundled assets only.</x:v>
      </x:c>
      <x:c r="G112" s="11" t="str">
        <x:v>1. Run flutter test test/profile_detail_screen_test.dart.
2. Execute the testWidgets case named 'gallery de-duplicates photos and swipes horizontally'.
3. Compare assertions and captured exceptions.</x:v>
      </x:c>
      <x:c r="H112" s="11" t="str">
        <x:v>All declared assertions pass without uncaught exceptions.</x:v>
      </x:c>
      <x:c r="I112" s="11" t="str">
        <x:v>Automated assertion completed without an exception.</x:v>
      </x:c>
      <x:c r="J112" s="11" t="str">
        <x:v>Pass</x:v>
      </x:c>
      <x:c r="K112" s="11" t="str">
        <x:v>Medium</x:v>
      </x:c>
      <x:c r="L112" s="11" t="str"/>
      <x:c r="M112" s="11" t="str">
        <x:v>Windows 11; Flutter 3.44.6; Dart 3.12.2; widget test</x:v>
      </x:c>
      <x:c r="N112" s="11" t="str">
        <x:v>EV-UI-002; EV-TEST-001</x:v>
      </x:c>
      <x:c r="O112" s="11" t="str">
        <x:v>Executed in the complete Flutter test run.</x:v>
      </x:c>
    </x:row>
    <x:row r="113">
      <x:c r="A113" s="11" t="str">
        <x:v>AUT-112</x:v>
      </x:c>
      <x:c r="B113" s="11" t="str">
        <x:v>Profile Detail</x:v>
      </x:c>
      <x:c r="C113" s="11" t="str">
        <x:v>image tap opens zoomable full-screen gallery</x:v>
      </x:c>
      <x:c r="D113" s="11" t="str">
        <x:v>Verify the automated contract: image tap opens zoomable full-screen gallery.</x:v>
      </x:c>
      <x:c r="E113" s="11" t="str">
        <x:v>Dependencies resolved; Flutter test binding available.</x:v>
      </x:c>
      <x:c r="F113" s="11" t="str">
        <x:v>Local fictional fixtures and bundled assets only.</x:v>
      </x:c>
      <x:c r="G113" s="11" t="str">
        <x:v>1. Run flutter test test/profile_detail_screen_test.dart.
2. Execute the testWidgets case named 'image tap opens zoomable full-screen gallery'.
3. Compare assertions and captured exceptions.</x:v>
      </x:c>
      <x:c r="H113" s="11" t="str">
        <x:v>All declared assertions pass without uncaught exceptions.</x:v>
      </x:c>
      <x:c r="I113" s="11" t="str">
        <x:v>Automated assertion completed without an exception.</x:v>
      </x:c>
      <x:c r="J113" s="11" t="str">
        <x:v>Pass</x:v>
      </x:c>
      <x:c r="K113" s="11" t="str">
        <x:v>Medium</x:v>
      </x:c>
      <x:c r="L113" s="11" t="str"/>
      <x:c r="M113" s="11" t="str">
        <x:v>Windows 11; Flutter 3.44.6; Dart 3.12.2; widget test</x:v>
      </x:c>
      <x:c r="N113" s="11" t="str">
        <x:v>EV-UI-002; EV-TEST-001</x:v>
      </x:c>
      <x:c r="O113" s="11" t="str">
        <x:v>Executed in the complete Flutter test run.</x:v>
      </x:c>
    </x:row>
    <x:row r="114">
      <x:c r="A114" s="11" t="str">
        <x:v>AUT-113</x:v>
      </x:c>
      <x:c r="B114" s="11" t="str">
        <x:v>Profile Detail</x:v>
      </x:c>
      <x:c r="C114" s="11" t="str">
        <x:v>double tap invokes the existing like action</x:v>
      </x:c>
      <x:c r="D114" s="11" t="str">
        <x:v>Verify the automated contract: double tap invokes the existing like action.</x:v>
      </x:c>
      <x:c r="E114" s="11" t="str">
        <x:v>Dependencies resolved; Flutter test binding available.</x:v>
      </x:c>
      <x:c r="F114" s="11" t="str">
        <x:v>Local fictional fixtures and bundled assets only.</x:v>
      </x:c>
      <x:c r="G114" s="11" t="str">
        <x:v>1. Run flutter test test/profile_detail_screen_test.dart.
2. Execute the testWidgets case named 'double tap invokes the existing like action'.
3. Compare assertions and captured exceptions.</x:v>
      </x:c>
      <x:c r="H114" s="11" t="str">
        <x:v>All declared assertions pass without uncaught exceptions.</x:v>
      </x:c>
      <x:c r="I114" s="11" t="str">
        <x:v>Automated assertion completed without an exception.</x:v>
      </x:c>
      <x:c r="J114" s="11" t="str">
        <x:v>Pass</x:v>
      </x:c>
      <x:c r="K114" s="11" t="str">
        <x:v>Medium</x:v>
      </x:c>
      <x:c r="L114" s="11" t="str"/>
      <x:c r="M114" s="11" t="str">
        <x:v>Windows 11; Flutter 3.44.6; Dart 3.12.2; widget test</x:v>
      </x:c>
      <x:c r="N114" s="11" t="str">
        <x:v>EV-UI-002; EV-TEST-001</x:v>
      </x:c>
      <x:c r="O114" s="11" t="str">
        <x:v>Executed in the complete Flutter test run.</x:v>
      </x:c>
    </x:row>
    <x:row r="115">
      <x:c r="A115" s="11" t="str">
        <x:v>AUT-114</x:v>
      </x:c>
      <x:c r="B115" s="11" t="str">
        <x:v>Profile Detail</x:v>
      </x:c>
      <x:c r="C115" s="11" t="str">
        <x:v>message action preserves its existing route</x:v>
      </x:c>
      <x:c r="D115" s="11" t="str">
        <x:v>Verify the automated contract: message action preserves its existing route.</x:v>
      </x:c>
      <x:c r="E115" s="11" t="str">
        <x:v>Dependencies resolved; Flutter test binding available.</x:v>
      </x:c>
      <x:c r="F115" s="11" t="str">
        <x:v>Local fictional fixtures and bundled assets only.</x:v>
      </x:c>
      <x:c r="G115" s="11" t="str">
        <x:v>1. Run flutter test test/profile_detail_screen_test.dart.
2. Execute the testWidgets case named 'message action preserves its existing route'.
3. Compare assertions and captured exceptions.</x:v>
      </x:c>
      <x:c r="H115" s="11" t="str">
        <x:v>All declared assertions pass without uncaught exceptions.</x:v>
      </x:c>
      <x:c r="I115" s="11" t="str">
        <x:v>Automated assertion completed without an exception.</x:v>
      </x:c>
      <x:c r="J115" s="11" t="str">
        <x:v>Pass</x:v>
      </x:c>
      <x:c r="K115" s="11" t="str">
        <x:v>Medium</x:v>
      </x:c>
      <x:c r="L115" s="11" t="str"/>
      <x:c r="M115" s="11" t="str">
        <x:v>Windows 11; Flutter 3.44.6; Dart 3.12.2; widget test</x:v>
      </x:c>
      <x:c r="N115" s="11" t="str">
        <x:v>EV-UI-002; EV-TEST-001</x:v>
      </x:c>
      <x:c r="O115" s="11" t="str">
        <x:v>Executed in the complete Flutter test run.</x:v>
      </x:c>
    </x:row>
    <x:row r="116">
      <x:c r="A116" s="11" t="str">
        <x:v>AUT-115</x:v>
      </x:c>
      <x:c r="B116" s="11" t="str">
        <x:v>Profile Detail</x:v>
      </x:c>
      <x:c r="C116" s="11" t="str">
        <x:v>Super Like sends through the supplied callback without routing</x:v>
      </x:c>
      <x:c r="D116" s="11" t="str">
        <x:v>Verify the automated contract: Super Like sends through the supplied callback without routing.</x:v>
      </x:c>
      <x:c r="E116" s="11" t="str">
        <x:v>Dependencies resolved; Flutter test binding available.</x:v>
      </x:c>
      <x:c r="F116" s="11" t="str">
        <x:v>Local fictional fixtures and bundled assets only.</x:v>
      </x:c>
      <x:c r="G116" s="11" t="str">
        <x:v>1. Run flutter test test/profile_detail_screen_test.dart.
2. Execute the testWidgets case named 'Super Like sends through the supplied callback without routing'.
3. Compare assertions and captured exceptions.</x:v>
      </x:c>
      <x:c r="H116" s="11" t="str">
        <x:v>All declared assertions pass without uncaught exceptions.</x:v>
      </x:c>
      <x:c r="I116" s="11" t="str">
        <x:v>Automated assertion completed without an exception.</x:v>
      </x:c>
      <x:c r="J116" s="11" t="str">
        <x:v>Pass</x:v>
      </x:c>
      <x:c r="K116" s="11" t="str">
        <x:v>Medium</x:v>
      </x:c>
      <x:c r="L116" s="11" t="str"/>
      <x:c r="M116" s="11" t="str">
        <x:v>Windows 11; Flutter 3.44.6; Dart 3.12.2; widget test</x:v>
      </x:c>
      <x:c r="N116" s="11" t="str">
        <x:v>EV-UI-002; EV-TEST-001</x:v>
      </x:c>
      <x:c r="O116" s="11" t="str">
        <x:v>Executed in the complete Flutter test run.</x:v>
      </x:c>
    </x:row>
    <x:row r="117">
      <x:c r="A117" s="11" t="str">
        <x:v>AUT-116</x:v>
      </x:c>
      <x:c r="B117" s="11" t="str">
        <x:v>Profile Detail</x:v>
      </x:c>
      <x:c r="C117" s="11" t="str">
        <x:v>more control exposes existing report and block actions</x:v>
      </x:c>
      <x:c r="D117" s="11" t="str">
        <x:v>Verify the automated contract: more control exposes existing report and block actions.</x:v>
      </x:c>
      <x:c r="E117" s="11" t="str">
        <x:v>Dependencies resolved; Flutter test binding available.</x:v>
      </x:c>
      <x:c r="F117" s="11" t="str">
        <x:v>Local fictional fixtures and bundled assets only.</x:v>
      </x:c>
      <x:c r="G117" s="11" t="str">
        <x:v>1. Run flutter test test/profile_detail_screen_test.dart.
2. Execute the testWidgets case named 'more control exposes existing report and block actions'.
3. Compare assertions and captured exceptions.</x:v>
      </x:c>
      <x:c r="H117" s="11" t="str">
        <x:v>All declared assertions pass without uncaught exceptions.</x:v>
      </x:c>
      <x:c r="I117" s="11" t="str">
        <x:v>Automated assertion completed without an exception.</x:v>
      </x:c>
      <x:c r="J117" s="11" t="str">
        <x:v>Pass</x:v>
      </x:c>
      <x:c r="K117" s="11" t="str">
        <x:v>Medium</x:v>
      </x:c>
      <x:c r="L117" s="11" t="str"/>
      <x:c r="M117" s="11" t="str">
        <x:v>Windows 11; Flutter 3.44.6; Dart 3.12.2; widget test</x:v>
      </x:c>
      <x:c r="N117" s="11" t="str">
        <x:v>EV-UI-002; EV-TEST-001</x:v>
      </x:c>
      <x:c r="O117" s="11" t="str">
        <x:v>Executed in the complete Flutter test run.</x:v>
      </x:c>
    </x:row>
    <x:row r="118">
      <x:c r="A118" s="11" t="str">
        <x:v>AUT-117</x:v>
      </x:c>
      <x:c r="B118" s="11" t="str">
        <x:v>Profile Detail</x:v>
      </x:c>
      <x:c r="C118" s="11" t="str">
        <x:v>desktop uses centred two-column presentation</x:v>
      </x:c>
      <x:c r="D118" s="11" t="str">
        <x:v>Verify the automated contract: desktop uses centred two-column presentation.</x:v>
      </x:c>
      <x:c r="E118" s="11" t="str">
        <x:v>Dependencies resolved; Flutter test binding available.</x:v>
      </x:c>
      <x:c r="F118" s="11" t="str">
        <x:v>Local fictional fixtures and bundled assets only.</x:v>
      </x:c>
      <x:c r="G118" s="11" t="str">
        <x:v>1. Run flutter test test/profile_detail_screen_test.dart.
2. Execute the testWidgets case named 'desktop uses centred two-column presentation'.
3. Compare assertions and captured exceptions.</x:v>
      </x:c>
      <x:c r="H118" s="11" t="str">
        <x:v>All declared assertions pass without uncaught exceptions.</x:v>
      </x:c>
      <x:c r="I118" s="11" t="str">
        <x:v>Automated assertion completed without an exception.</x:v>
      </x:c>
      <x:c r="J118" s="11" t="str">
        <x:v>Pass</x:v>
      </x:c>
      <x:c r="K118" s="11" t="str">
        <x:v>Medium</x:v>
      </x:c>
      <x:c r="L118" s="11" t="str"/>
      <x:c r="M118" s="11" t="str">
        <x:v>Windows 11; Flutter 3.44.6; Dart 3.12.2; widget test</x:v>
      </x:c>
      <x:c r="N118" s="11" t="str">
        <x:v>EV-UI-002; EV-TEST-001</x:v>
      </x:c>
      <x:c r="O118" s="11" t="str">
        <x:v>Executed in the complete Flutter test run.</x:v>
      </x:c>
    </x:row>
    <x:row r="119">
      <x:c r="A119" s="11" t="str">
        <x:v>AUT-118</x:v>
      </x:c>
      <x:c r="B119" s="11" t="str">
        <x:v>User Profile</x:v>
      </x:c>
      <x:c r="C119" s="11" t="str">
        <x:v>profile is an identity-first story at compact phone width</x:v>
      </x:c>
      <x:c r="D119" s="11" t="str">
        <x:v>Verify the automated contract: profile is an identity-first story at compact phone width.</x:v>
      </x:c>
      <x:c r="E119" s="11" t="str">
        <x:v>Dependencies resolved; Flutter test binding available.</x:v>
      </x:c>
      <x:c r="F119" s="11" t="str">
        <x:v>Local fictional fixtures and bundled assets only.</x:v>
      </x:c>
      <x:c r="G119" s="11" t="str">
        <x:v>1. Run flutter test test/profile_identity_screen_test.dart.
2. Execute the testWidgets case named 'profile is an identity-first story at compact phone width'.
3. Compare assertions and captured exceptions.</x:v>
      </x:c>
      <x:c r="H119" s="11" t="str">
        <x:v>All declared assertions pass without uncaught exceptions.</x:v>
      </x:c>
      <x:c r="I119" s="11" t="str">
        <x:v>Automated assertion completed without an exception.</x:v>
      </x:c>
      <x:c r="J119" s="11" t="str">
        <x:v>Pass</x:v>
      </x:c>
      <x:c r="K119" s="11" t="str">
        <x:v>Medium</x:v>
      </x:c>
      <x:c r="L119" s="11" t="str"/>
      <x:c r="M119" s="11" t="str">
        <x:v>Windows 11; Flutter 3.44.6; Dart 3.12.2; widget test</x:v>
      </x:c>
      <x:c r="N119" s="11" t="str">
        <x:v>EV-UI-005; EV-TEST-001</x:v>
      </x:c>
      <x:c r="O119" s="11" t="str">
        <x:v>Executed in the complete Flutter test run.</x:v>
      </x:c>
    </x:row>
    <x:row r="120">
      <x:c r="A120" s="11" t="str">
        <x:v>AUT-119</x:v>
      </x:c>
      <x:c r="B120" s="11" t="str">
        <x:v>User Profile</x:v>
      </x:c>
      <x:c r="C120" s="11" t="str">
        <x:v>profile uses a centred responsive identity canvas on desktop</x:v>
      </x:c>
      <x:c r="D120" s="11" t="str">
        <x:v>Verify the automated contract: profile uses a centred responsive identity canvas on desktop.</x:v>
      </x:c>
      <x:c r="E120" s="11" t="str">
        <x:v>Dependencies resolved; Flutter test binding available.</x:v>
      </x:c>
      <x:c r="F120" s="11" t="str">
        <x:v>Local fictional fixtures and bundled assets only.</x:v>
      </x:c>
      <x:c r="G120" s="11" t="str">
        <x:v>1. Run flutter test test/profile_identity_screen_test.dart.
2. Execute the testWidgets case named 'profile uses a centred responsive identity canvas on desktop'.
3. Compare assertions and captured exceptions.</x:v>
      </x:c>
      <x:c r="H120" s="11" t="str">
        <x:v>All declared assertions pass without uncaught exceptions.</x:v>
      </x:c>
      <x:c r="I120" s="11" t="str">
        <x:v>Automated assertion completed without an exception.</x:v>
      </x:c>
      <x:c r="J120" s="11" t="str">
        <x:v>Pass</x:v>
      </x:c>
      <x:c r="K120" s="11" t="str">
        <x:v>Medium</x:v>
      </x:c>
      <x:c r="L120" s="11" t="str"/>
      <x:c r="M120" s="11" t="str">
        <x:v>Windows 11; Flutter 3.44.6; Dart 3.12.2; widget test</x:v>
      </x:c>
      <x:c r="N120" s="11" t="str">
        <x:v>EV-UI-005; EV-TEST-001</x:v>
      </x:c>
      <x:c r="O120" s="11" t="str">
        <x:v>Executed in the complete Flutter test run.</x:v>
      </x:c>
    </x:row>
    <x:row r="121">
      <x:c r="A121" s="11" t="str">
        <x:v>AUT-120</x:v>
      </x:c>
      <x:c r="B121" s="11" t="str">
        <x:v>User Profile</x:v>
      </x:c>
      <x:c r="C121" s="11" t="str">
        <x:v>edit profile saves through the existing local repository</x:v>
      </x:c>
      <x:c r="D121" s="11" t="str">
        <x:v>Verify the automated contract: edit profile saves through the existing local repository.</x:v>
      </x:c>
      <x:c r="E121" s="11" t="str">
        <x:v>Dependencies resolved; Flutter test binding available.</x:v>
      </x:c>
      <x:c r="F121" s="11" t="str">
        <x:v>Local fictional fixtures and bundled assets only.</x:v>
      </x:c>
      <x:c r="G121" s="11" t="str">
        <x:v>1. Run flutter test test/profile_identity_screen_test.dart.
2. Execute the testWidgets case named 'edit profile saves through the existing local repository'.
3. Compare assertions and captured exceptions.</x:v>
      </x:c>
      <x:c r="H121" s="11" t="str">
        <x:v>All declared assertions pass without uncaught exceptions.</x:v>
      </x:c>
      <x:c r="I121" s="11" t="str">
        <x:v>Automated assertion completed without an exception.</x:v>
      </x:c>
      <x:c r="J121" s="11" t="str">
        <x:v>Pass</x:v>
      </x:c>
      <x:c r="K121" s="11" t="str">
        <x:v>Medium</x:v>
      </x:c>
      <x:c r="L121" s="11" t="str"/>
      <x:c r="M121" s="11" t="str">
        <x:v>Windows 11; Flutter 3.44.6; Dart 3.12.2; widget test</x:v>
      </x:c>
      <x:c r="N121" s="11" t="str">
        <x:v>EV-UI-005; EV-TEST-001</x:v>
      </x:c>
      <x:c r="O121" s="11" t="str">
        <x:v>Executed in the complete Flutter test run.</x:v>
      </x:c>
    </x:row>
    <x:row r="122">
      <x:c r="A122" s="11" t="str">
        <x:v>AUT-121</x:v>
      </x:c>
      <x:c r="B122" s="11" t="str">
        <x:v>Visual Evidence</x:v>
      </x:c>
      <x:c r="C122" s="11" t="str">
        <x:v>capture authentication mobile evidence</x:v>
      </x:c>
      <x:c r="D122" s="11" t="str">
        <x:v>Verify the automated contract: capture authentication mobile evidence.</x:v>
      </x:c>
      <x:c r="E122" s="11" t="str">
        <x:v>Dependencies resolved; Flutter test binding available.</x:v>
      </x:c>
      <x:c r="F122" s="11" t="str">
        <x:v>Local fictional fixtures and bundled assets only.</x:v>
      </x:c>
      <x:c r="G122" s="11" t="str">
        <x:v>1. Run flutter test test/qa_evidence_capture_test.dart.
2. Execute the testWidgets case named 'capture authentication mobile evidence'.
3. Compare assertions and captured exceptions.</x:v>
      </x:c>
      <x:c r="H122" s="11" t="str">
        <x:v>All declared assertions pass without uncaught exceptions.</x:v>
      </x:c>
      <x:c r="I122" s="11" t="str">
        <x:v>Automated assertion completed without an exception.</x:v>
      </x:c>
      <x:c r="J122" s="11" t="str">
        <x:v>Pass</x:v>
      </x:c>
      <x:c r="K122" s="11" t="str">
        <x:v>Medium</x:v>
      </x:c>
      <x:c r="L122" s="11" t="str"/>
      <x:c r="M122" s="11" t="str">
        <x:v>Windows 11; Flutter 3.44.6; Dart 3.12.2; widget test</x:v>
      </x:c>
      <x:c r="N122" s="11" t="str">
        <x:v>EV-UI-001; EV-TEST-001</x:v>
      </x:c>
      <x:c r="O122" s="11" t="str">
        <x:v>Executed in the complete Flutter test run.</x:v>
      </x:c>
    </x:row>
    <x:row r="123">
      <x:c r="A123" s="11" t="str">
        <x:v>AUT-122</x:v>
      </x:c>
      <x:c r="B123" s="11" t="str">
        <x:v>Visual Evidence</x:v>
      </x:c>
      <x:c r="C123" s="11" t="str">
        <x:v>capture discover mobile evidence</x:v>
      </x:c>
      <x:c r="D123" s="11" t="str">
        <x:v>Verify the automated contract: capture discover mobile evidence.</x:v>
      </x:c>
      <x:c r="E123" s="11" t="str">
        <x:v>Dependencies resolved; Flutter test binding available.</x:v>
      </x:c>
      <x:c r="F123" s="11" t="str">
        <x:v>Local fictional fixtures and bundled assets only.</x:v>
      </x:c>
      <x:c r="G123" s="11" t="str">
        <x:v>1. Run flutter test test/qa_evidence_capture_test.dart.
2. Execute the testWidgets case named 'capture discover mobile evidence'.
3. Compare assertions and captured exceptions.</x:v>
      </x:c>
      <x:c r="H123" s="11" t="str">
        <x:v>All declared assertions pass without uncaught exceptions.</x:v>
      </x:c>
      <x:c r="I123" s="11" t="str">
        <x:v>Automated assertion completed without an exception.</x:v>
      </x:c>
      <x:c r="J123" s="11" t="str">
        <x:v>Pass</x:v>
      </x:c>
      <x:c r="K123" s="11" t="str">
        <x:v>Medium</x:v>
      </x:c>
      <x:c r="L123" s="11" t="str"/>
      <x:c r="M123" s="11" t="str">
        <x:v>Windows 11; Flutter 3.44.6; Dart 3.12.2; widget test</x:v>
      </x:c>
      <x:c r="N123" s="11" t="str">
        <x:v>EV-UI-002; EV-TEST-001</x:v>
      </x:c>
      <x:c r="O123" s="11" t="str">
        <x:v>Executed in the complete Flutter test run.</x:v>
      </x:c>
    </x:row>
    <x:row r="124">
      <x:c r="A124" s="11" t="str">
        <x:v>AUT-123</x:v>
      </x:c>
      <x:c r="B124" s="11" t="str">
        <x:v>Visual Evidence</x:v>
      </x:c>
      <x:c r="C124" s="11" t="str">
        <x:v>capture events mobile evidence</x:v>
      </x:c>
      <x:c r="D124" s="11" t="str">
        <x:v>Verify the automated contract: capture events mobile evidence.</x:v>
      </x:c>
      <x:c r="E124" s="11" t="str">
        <x:v>Dependencies resolved; Flutter test binding available.</x:v>
      </x:c>
      <x:c r="F124" s="11" t="str">
        <x:v>Local fictional fixtures and bundled assets only.</x:v>
      </x:c>
      <x:c r="G124" s="11" t="str">
        <x:v>1. Run flutter test test/qa_evidence_capture_test.dart.
2. Execute the testWidgets case named 'capture events mobile evidence'.
3. Compare assertions and captured exceptions.</x:v>
      </x:c>
      <x:c r="H124" s="11" t="str">
        <x:v>All declared assertions pass without uncaught exceptions.</x:v>
      </x:c>
      <x:c r="I124" s="11" t="str">
        <x:v>Automated assertion completed without an exception.</x:v>
      </x:c>
      <x:c r="J124" s="11" t="str">
        <x:v>Pass</x:v>
      </x:c>
      <x:c r="K124" s="11" t="str">
        <x:v>Medium</x:v>
      </x:c>
      <x:c r="L124" s="11" t="str"/>
      <x:c r="M124" s="11" t="str">
        <x:v>Windows 11; Flutter 3.44.6; Dart 3.12.2; widget test</x:v>
      </x:c>
      <x:c r="N124" s="11" t="str">
        <x:v>EV-UI-003; EV-UI-007; EV-TEST-001</x:v>
      </x:c>
      <x:c r="O124" s="11" t="str">
        <x:v>Executed in the complete Flutter test run.</x:v>
      </x:c>
    </x:row>
    <x:row r="125">
      <x:c r="A125" s="11" t="str">
        <x:v>AUT-124</x:v>
      </x:c>
      <x:c r="B125" s="11" t="str">
        <x:v>Visual Evidence</x:v>
      </x:c>
      <x:c r="C125" s="11" t="str">
        <x:v>capture event detail mobile evidence</x:v>
      </x:c>
      <x:c r="D125" s="11" t="str">
        <x:v>Verify the automated contract: capture event detail mobile evidence.</x:v>
      </x:c>
      <x:c r="E125" s="11" t="str">
        <x:v>Dependencies resolved; Flutter test binding available.</x:v>
      </x:c>
      <x:c r="F125" s="11" t="str">
        <x:v>Local fictional fixtures and bundled assets only.</x:v>
      </x:c>
      <x:c r="G125" s="11" t="str">
        <x:v>1. Run flutter test test/qa_evidence_capture_test.dart.
2. Execute the testWidgets case named 'capture event detail mobile evidence'.
3. Compare assertions and captured exceptions.</x:v>
      </x:c>
      <x:c r="H125" s="11" t="str">
        <x:v>All declared assertions pass without uncaught exceptions.</x:v>
      </x:c>
      <x:c r="I125" s="11" t="str">
        <x:v>Automated assertion completed without an exception.</x:v>
      </x:c>
      <x:c r="J125" s="11" t="str">
        <x:v>Pass</x:v>
      </x:c>
      <x:c r="K125" s="11" t="str">
        <x:v>Medium</x:v>
      </x:c>
      <x:c r="L125" s="11" t="str"/>
      <x:c r="M125" s="11" t="str">
        <x:v>Windows 11; Flutter 3.44.6; Dart 3.12.2; widget test</x:v>
      </x:c>
      <x:c r="N125" s="11" t="str">
        <x:v>EV-UI-004; EV-TEST-001</x:v>
      </x:c>
      <x:c r="O125" s="11" t="str">
        <x:v>Executed in the complete Flutter test run.</x:v>
      </x:c>
    </x:row>
    <x:row r="126">
      <x:c r="A126" s="11" t="str">
        <x:v>AUT-125</x:v>
      </x:c>
      <x:c r="B126" s="11" t="str">
        <x:v>Visual Evidence</x:v>
      </x:c>
      <x:c r="C126" s="11" t="str">
        <x:v>capture profile mobile evidence</x:v>
      </x:c>
      <x:c r="D126" s="11" t="str">
        <x:v>Verify the automated contract: capture profile mobile evidence.</x:v>
      </x:c>
      <x:c r="E126" s="11" t="str">
        <x:v>Dependencies resolved; Flutter test binding available.</x:v>
      </x:c>
      <x:c r="F126" s="11" t="str">
        <x:v>Local fictional fixtures and bundled assets only.</x:v>
      </x:c>
      <x:c r="G126" s="11" t="str">
        <x:v>1. Run flutter test test/qa_evidence_capture_test.dart.
2. Execute the testWidgets case named 'capture profile mobile evidence'.
3. Compare assertions and captured exceptions.</x:v>
      </x:c>
      <x:c r="H126" s="11" t="str">
        <x:v>All declared assertions pass without uncaught exceptions.</x:v>
      </x:c>
      <x:c r="I126" s="11" t="str">
        <x:v>Automated assertion completed without an exception.</x:v>
      </x:c>
      <x:c r="J126" s="11" t="str">
        <x:v>Pass</x:v>
      </x:c>
      <x:c r="K126" s="11" t="str">
        <x:v>Medium</x:v>
      </x:c>
      <x:c r="L126" s="11" t="str"/>
      <x:c r="M126" s="11" t="str">
        <x:v>Windows 11; Flutter 3.44.6; Dart 3.12.2; widget test</x:v>
      </x:c>
      <x:c r="N126" s="11" t="str">
        <x:v>EV-UI-005; EV-TEST-001</x:v>
      </x:c>
      <x:c r="O126" s="11" t="str">
        <x:v>Executed in the complete Flutter test run.</x:v>
      </x:c>
    </x:row>
    <x:row r="127">
      <x:c r="A127" s="11" t="str">
        <x:v>AUT-126</x:v>
      </x:c>
      <x:c r="B127" s="11" t="str">
        <x:v>Visual Evidence</x:v>
      </x:c>
      <x:c r="C127" s="11" t="str">
        <x:v>capture FAQ support mobile evidence</x:v>
      </x:c>
      <x:c r="D127" s="11" t="str">
        <x:v>Verify the automated contract: capture FAQ support mobile evidence.</x:v>
      </x:c>
      <x:c r="E127" s="11" t="str">
        <x:v>Dependencies resolved; Flutter test binding available.</x:v>
      </x:c>
      <x:c r="F127" s="11" t="str">
        <x:v>Local fictional fixtures and bundled assets only.</x:v>
      </x:c>
      <x:c r="G127" s="11" t="str">
        <x:v>1. Run flutter test test/qa_evidence_capture_test.dart.
2. Execute the testWidgets case named 'capture FAQ support mobile evidence'.
3. Compare assertions and captured exceptions.</x:v>
      </x:c>
      <x:c r="H127" s="11" t="str">
        <x:v>All declared assertions pass without uncaught exceptions.</x:v>
      </x:c>
      <x:c r="I127" s="11" t="str">
        <x:v>Automated assertion completed without an exception.</x:v>
      </x:c>
      <x:c r="J127" s="11" t="str">
        <x:v>Pass</x:v>
      </x:c>
      <x:c r="K127" s="11" t="str">
        <x:v>Medium</x:v>
      </x:c>
      <x:c r="L127" s="11" t="str"/>
      <x:c r="M127" s="11" t="str">
        <x:v>Windows 11; Flutter 3.44.6; Dart 3.12.2; widget test</x:v>
      </x:c>
      <x:c r="N127" s="11" t="str">
        <x:v>EV-UI-006; EV-TEST-001</x:v>
      </x:c>
      <x:c r="O127" s="11" t="str">
        <x:v>Executed in the complete Flutter test run.</x:v>
      </x:c>
    </x:row>
    <x:row r="128">
      <x:c r="A128" s="11" t="str">
        <x:v>AUT-127</x:v>
      </x:c>
      <x:c r="B128" s="11" t="str">
        <x:v>Visual Evidence</x:v>
      </x:c>
      <x:c r="C128" s="11" t="str">
        <x:v>capture events desktop evidence</x:v>
      </x:c>
      <x:c r="D128" s="11" t="str">
        <x:v>Verify the automated contract: capture events desktop evidence.</x:v>
      </x:c>
      <x:c r="E128" s="11" t="str">
        <x:v>Dependencies resolved; Flutter test binding available.</x:v>
      </x:c>
      <x:c r="F128" s="11" t="str">
        <x:v>Local fictional fixtures and bundled assets only.</x:v>
      </x:c>
      <x:c r="G128" s="11" t="str">
        <x:v>1. Run flutter test test/qa_evidence_capture_test.dart.
2. Execute the testWidgets case named 'capture events desktop evidence'.
3. Compare assertions and captured exceptions.</x:v>
      </x:c>
      <x:c r="H128" s="11" t="str">
        <x:v>All declared assertions pass without uncaught exceptions.</x:v>
      </x:c>
      <x:c r="I128" s="11" t="str">
        <x:v>Automated assertion completed without an exception.</x:v>
      </x:c>
      <x:c r="J128" s="11" t="str">
        <x:v>Pass</x:v>
      </x:c>
      <x:c r="K128" s="11" t="str">
        <x:v>Medium</x:v>
      </x:c>
      <x:c r="L128" s="11" t="str"/>
      <x:c r="M128" s="11" t="str">
        <x:v>Windows 11; Flutter 3.44.6; Dart 3.12.2; widget test</x:v>
      </x:c>
      <x:c r="N128" s="11" t="str">
        <x:v>EV-UI-003; EV-UI-007; EV-TEST-001</x:v>
      </x:c>
      <x:c r="O128" s="11" t="str">
        <x:v>Executed in the complete Flutter test run.</x:v>
      </x:c>
    </x:row>
    <x:row r="129">
      <x:c r="A129" s="11" t="str">
        <x:v>AUT-128</x:v>
      </x:c>
      <x:c r="B129" s="11" t="str">
        <x:v>Regression</x:v>
      </x:c>
      <x:c r="C129" s="11" t="str">
        <x:v>Edit Profile opens an editable route and saves local fields</x:v>
      </x:c>
      <x:c r="D129" s="11" t="str">
        <x:v>Verify the automated contract: Edit Profile opens an editable route and saves local fields.</x:v>
      </x:c>
      <x:c r="E129" s="11" t="str">
        <x:v>Dependencies resolved; Flutter test binding available.</x:v>
      </x:c>
      <x:c r="F129" s="11" t="str">
        <x:v>Local fictional fixtures and bundled assets only.</x:v>
      </x:c>
      <x:c r="G129" s="11" t="str">
        <x:v>1. Run flutter test test/qa_frontend_fixes_test.dart.
2. Execute the testWidgets case named 'Edit Profile opens an editable route and saves local fields'.
3. Compare assertions and captured exceptions.</x:v>
      </x:c>
      <x:c r="H129" s="11" t="str">
        <x:v>All declared assertions pass without uncaught exceptions.</x:v>
      </x:c>
      <x:c r="I129" s="11" t="str">
        <x:v>Automated assertion completed without an exception.</x:v>
      </x:c>
      <x:c r="J129" s="11" t="str">
        <x:v>Pass</x:v>
      </x:c>
      <x:c r="K129" s="11" t="str">
        <x:v>Medium</x:v>
      </x:c>
      <x:c r="L129" s="11" t="str"/>
      <x:c r="M129" s="11" t="str">
        <x:v>Windows 11; Flutter 3.44.6; Dart 3.12.2; widget test</x:v>
      </x:c>
      <x:c r="N129" s="11" t="str">
        <x:v>EV-UI-005; EV-TEST-001</x:v>
      </x:c>
      <x:c r="O129" s="11" t="str">
        <x:v>Executed in the complete Flutter test run.</x:v>
      </x:c>
    </x:row>
    <x:row r="130">
      <x:c r="A130" s="11" t="str">
        <x:v>AUT-129</x:v>
      </x:c>
      <x:c r="B130" s="11" t="str">
        <x:v>Regression</x:v>
      </x:c>
      <x:c r="C130" s="11" t="str">
        <x:v>Profile completion and preview actions open real screens</x:v>
      </x:c>
      <x:c r="D130" s="11" t="str">
        <x:v>Verify the automated contract: Profile completion and preview actions open real screens.</x:v>
      </x:c>
      <x:c r="E130" s="11" t="str">
        <x:v>Dependencies resolved; Flutter test binding available.</x:v>
      </x:c>
      <x:c r="F130" s="11" t="str">
        <x:v>Local fictional fixtures and bundled assets only.</x:v>
      </x:c>
      <x:c r="G130" s="11" t="str">
        <x:v>1. Run flutter test test/qa_frontend_fixes_test.dart.
2. Execute the testWidgets case named 'Profile completion and preview actions open real screens'.
3. Compare assertions and captured exceptions.</x:v>
      </x:c>
      <x:c r="H130" s="11" t="str">
        <x:v>All declared assertions pass without uncaught exceptions.</x:v>
      </x:c>
      <x:c r="I130" s="11" t="str">
        <x:v>Automated assertion completed without an exception.</x:v>
      </x:c>
      <x:c r="J130" s="11" t="str">
        <x:v>Pass</x:v>
      </x:c>
      <x:c r="K130" s="11" t="str">
        <x:v>Medium</x:v>
      </x:c>
      <x:c r="L130" s="11" t="str"/>
      <x:c r="M130" s="11" t="str">
        <x:v>Windows 11; Flutter 3.44.6; Dart 3.12.2; widget test</x:v>
      </x:c>
      <x:c r="N130" s="11" t="str">
        <x:v>EV-UI-005; EV-TEST-001</x:v>
      </x:c>
      <x:c r="O130" s="11" t="str">
        <x:v>Executed in the complete Flutter test run.</x:v>
      </x:c>
    </x:row>
    <x:row r="131">
      <x:c r="A131" s="11" t="str">
        <x:v>AUT-130</x:v>
      </x:c>
      <x:c r="B131" s="11" t="str">
        <x:v>Regression</x:v>
      </x:c>
      <x:c r="C131" s="11" t="str">
        <x:v>AI assistant sheet scrolls at compact phone height</x:v>
      </x:c>
      <x:c r="D131" s="11" t="str">
        <x:v>Verify the automated contract: AI assistant sheet scrolls at compact phone height.</x:v>
      </x:c>
      <x:c r="E131" s="11" t="str">
        <x:v>Dependencies resolved; Flutter test binding available.</x:v>
      </x:c>
      <x:c r="F131" s="11" t="str">
        <x:v>Local fictional fixtures and bundled assets only.</x:v>
      </x:c>
      <x:c r="G131" s="11" t="str">
        <x:v>1. Run flutter test test/qa_frontend_fixes_test.dart.
2. Execute the testWidgets case named 'AI assistant sheet scrolls at compact phone height'.
3. Compare assertions and captured exceptions.</x:v>
      </x:c>
      <x:c r="H131" s="11" t="str">
        <x:v>All declared assertions pass without uncaught exceptions.</x:v>
      </x:c>
      <x:c r="I131" s="11" t="str">
        <x:v>Automated assertion completed without an exception.</x:v>
      </x:c>
      <x:c r="J131" s="11" t="str">
        <x:v>Pass</x:v>
      </x:c>
      <x:c r="K131" s="11" t="str">
        <x:v>Medium</x:v>
      </x:c>
      <x:c r="L131" s="11" t="str"/>
      <x:c r="M131" s="11" t="str">
        <x:v>Windows 11; Flutter 3.44.6; Dart 3.12.2; widget test</x:v>
      </x:c>
      <x:c r="N131" s="11" t="str">
        <x:v>EV-TEST-001</x:v>
      </x:c>
      <x:c r="O131" s="11" t="str">
        <x:v>Executed in the complete Flutter test run.</x:v>
      </x:c>
    </x:row>
    <x:row r="132">
      <x:c r="A132" s="11" t="str">
        <x:v>AUT-131</x:v>
      </x:c>
      <x:c r="B132" s="11" t="str">
        <x:v>Regression</x:v>
      </x:c>
      <x:c r="C132" s="11" t="str">
        <x:v>Events locked state survives large text on narrow screen</x:v>
      </x:c>
      <x:c r="D132" s="11" t="str">
        <x:v>Verify the automated contract: Events locked state survives large text on narrow screen.</x:v>
      </x:c>
      <x:c r="E132" s="11" t="str">
        <x:v>Dependencies resolved; Flutter test binding available.</x:v>
      </x:c>
      <x:c r="F132" s="11" t="str">
        <x:v>Local fictional fixtures and bundled assets only.</x:v>
      </x:c>
      <x:c r="G132" s="11" t="str">
        <x:v>1. Run flutter test test/qa_frontend_fixes_test.dart.
2. Execute the testWidgets case named 'Events locked state survives large text on narrow screen'.
3. Compare assertions and captured exceptions.</x:v>
      </x:c>
      <x:c r="H132" s="11" t="str">
        <x:v>All declared assertions pass without uncaught exceptions.</x:v>
      </x:c>
      <x:c r="I132" s="11" t="str">
        <x:v>Legacy locked-state copy is absent by design, and the current featured card also produced a 35 px bottom RenderFlex overflow at 320x700 with 1.3x text scaling.</x:v>
      </x:c>
      <x:c r="J132" s="11" t="str">
        <x:v>Fail</x:v>
      </x:c>
      <x:c r="K132" s="11" t="str">
        <x:v>Medium</x:v>
      </x:c>
      <x:c r="L132" s="11" t="str">
        <x:v>P2</x:v>
      </x:c>
      <x:c r="M132" s="11" t="str">
        <x:v>Windows 11; Flutter 3.44.6; Dart 3.12.2; widget test</x:v>
      </x:c>
      <x:c r="N132" s="11" t="str">
        <x:v>EV-UI-003; EV-UI-007; EV-TEST-001</x:v>
      </x:c>
      <x:c r="O132" s="11" t="str">
        <x:v>Mapped to BUG-EVT-001; BUG-TST-001.</x:v>
      </x:c>
    </x:row>
    <x:row r="133">
      <x:c r="A133" s="11" t="str">
        <x:v>AUT-132</x:v>
      </x:c>
      <x:c r="B133" s="11" t="str">
        <x:v>Regression</x:v>
      </x:c>
      <x:c r="C133" s="11" t="str">
        <x:v>Advanced Filter reset and active chip use shared tokens</x:v>
      </x:c>
      <x:c r="D133" s="11" t="str">
        <x:v>Verify the automated contract: Advanced Filter reset and active chip use shared tokens.</x:v>
      </x:c>
      <x:c r="E133" s="11" t="str">
        <x:v>Dependencies resolved; Flutter test binding available.</x:v>
      </x:c>
      <x:c r="F133" s="11" t="str">
        <x:v>Local fictional fixtures and bundled assets only.</x:v>
      </x:c>
      <x:c r="G133" s="11" t="str">
        <x:v>1. Run flutter test test/qa_frontend_fixes_test.dart.
2. Execute the testWidgets case named 'Advanced Filter reset and active chip use shared tokens'.
3. Compare assertions and captured exceptions.</x:v>
      </x:c>
      <x:c r="H133" s="11" t="str">
        <x:v>All declared assertions pass without uncaught exceptions.</x:v>
      </x:c>
      <x:c r="I133" s="11" t="str">
        <x:v>Automated assertion completed without an exception.</x:v>
      </x:c>
      <x:c r="J133" s="11" t="str">
        <x:v>Pass</x:v>
      </x:c>
      <x:c r="K133" s="11" t="str">
        <x:v>Medium</x:v>
      </x:c>
      <x:c r="L133" s="11" t="str"/>
      <x:c r="M133" s="11" t="str">
        <x:v>Windows 11; Flutter 3.44.6; Dart 3.12.2; widget test</x:v>
      </x:c>
      <x:c r="N133" s="11" t="str">
        <x:v>EV-UI-002; EV-TEST-001</x:v>
      </x:c>
      <x:c r="O133" s="11" t="str">
        <x:v>Executed in the complete Flutter test run.</x:v>
      </x:c>
    </x:row>
    <x:row r="134">
      <x:c r="A134" s="11" t="str">
        <x:v>AUT-133</x:v>
      </x:c>
      <x:c r="B134" s="11" t="str">
        <x:v>Regression</x:v>
      </x:c>
      <x:c r="C134" s="11" t="str">
        <x:v>profile completion and avatar update from local repository</x:v>
      </x:c>
      <x:c r="D134" s="11" t="str">
        <x:v>Verify the automated contract: profile completion and avatar update from local repository.</x:v>
      </x:c>
      <x:c r="E134" s="11" t="str">
        <x:v>Dependencies resolved; Flutter test binding available.</x:v>
      </x:c>
      <x:c r="F134" s="11" t="str">
        <x:v>Local fictional fixtures and bundled assets only.</x:v>
      </x:c>
      <x:c r="G134" s="11" t="str">
        <x:v>1. Run flutter test test/qa_frontend_fixes_test.dart.
2. Execute the test case named 'profile completion and avatar update from local repository'.
3. Compare assertions and captured exceptions.</x:v>
      </x:c>
      <x:c r="H134" s="11" t="str">
        <x:v>All declared assertions pass without uncaught exceptions.</x:v>
      </x:c>
      <x:c r="I134" s="11" t="str">
        <x:v>Automated assertion completed without an exception.</x:v>
      </x:c>
      <x:c r="J134" s="11" t="str">
        <x:v>Pass</x:v>
      </x:c>
      <x:c r="K134" s="11" t="str">
        <x:v>Medium</x:v>
      </x:c>
      <x:c r="L134" s="11" t="str"/>
      <x:c r="M134" s="11" t="str">
        <x:v>Windows 11; Flutter 3.44.6; Dart 3.12.2; widget test</x:v>
      </x:c>
      <x:c r="N134" s="11" t="str">
        <x:v>EV-UI-005; EV-TEST-001</x:v>
      </x:c>
      <x:c r="O134" s="11" t="str">
        <x:v>Executed in the complete Flutter test run.</x:v>
      </x:c>
    </x:row>
    <x:row r="135">
      <x:c r="A135" s="11" t="str">
        <x:v>AUT-134</x:v>
      </x:c>
      <x:c r="B135" s="11" t="str">
        <x:v>Authentication</x:v>
      </x:c>
      <x:c r="C135" s="11" t="str">
        <x:v>unauthenticated launch opens Auth with both account choices</x:v>
      </x:c>
      <x:c r="D135" s="11" t="str">
        <x:v>Verify the automated contract: unauthenticated launch opens Auth with both account choices.</x:v>
      </x:c>
      <x:c r="E135" s="11" t="str">
        <x:v>Dependencies resolved; Flutter test binding available.</x:v>
      </x:c>
      <x:c r="F135" s="11" t="str">
        <x:v>Local fictional fixtures and bundled assets only.</x:v>
      </x:c>
      <x:c r="G135" s="11" t="str">
        <x:v>1. Run flutter test test/startup_routing_test.dart.
2. Execute the testWidgets case named 'unauthenticated launch opens Auth with both account choices'.
3. Compare assertions and captured exceptions.</x:v>
      </x:c>
      <x:c r="H135" s="11" t="str">
        <x:v>All declared assertions pass without uncaught exceptions.</x:v>
      </x:c>
      <x:c r="I135" s="11" t="str">
        <x:v>Automated assertion completed without an exception.</x:v>
      </x:c>
      <x:c r="J135" s="11" t="str">
        <x:v>Pass</x:v>
      </x:c>
      <x:c r="K135" s="11" t="str">
        <x:v>High</x:v>
      </x:c>
      <x:c r="L135" s="11" t="str"/>
      <x:c r="M135" s="11" t="str">
        <x:v>Windows 11; Flutter 3.44.6; Dart 3.12.2; widget test</x:v>
      </x:c>
      <x:c r="N135" s="11" t="str">
        <x:v>EV-UI-001; EV-TEST-001</x:v>
      </x:c>
      <x:c r="O135" s="11" t="str">
        <x:v>Executed in the complete Flutter test run.</x:v>
      </x:c>
    </x:row>
    <x:row r="136">
      <x:c r="A136" s="11" t="str">
        <x:v>AUT-135</x:v>
      </x:c>
      <x:c r="B136" s="11" t="str">
        <x:v>Authentication</x:v>
      </x:c>
      <x:c r="C136" s="11" t="str">
        <x:v>authenticated launch preserves the existing app destination</x:v>
      </x:c>
      <x:c r="D136" s="11" t="str">
        <x:v>Verify the automated contract: authenticated launch preserves the existing app destination.</x:v>
      </x:c>
      <x:c r="E136" s="11" t="str">
        <x:v>Dependencies resolved; Flutter test binding available.</x:v>
      </x:c>
      <x:c r="F136" s="11" t="str">
        <x:v>Local fictional fixtures and bundled assets only.</x:v>
      </x:c>
      <x:c r="G136" s="11" t="str">
        <x:v>1. Run flutter test test/startup_routing_test.dart.
2. Execute the testWidgets case named 'authenticated launch preserves the existing app destination'.
3. Compare assertions and captured exceptions.</x:v>
      </x:c>
      <x:c r="H136" s="11" t="str">
        <x:v>All declared assertions pass without uncaught exceptions.</x:v>
      </x:c>
      <x:c r="I136" s="11" t="str">
        <x:v>Automated assertion completed without an exception.</x:v>
      </x:c>
      <x:c r="J136" s="11" t="str">
        <x:v>Pass</x:v>
      </x:c>
      <x:c r="K136" s="11" t="str">
        <x:v>High</x:v>
      </x:c>
      <x:c r="L136" s="11" t="str"/>
      <x:c r="M136" s="11" t="str">
        <x:v>Windows 11; Flutter 3.44.6; Dart 3.12.2; widget test</x:v>
      </x:c>
      <x:c r="N136" s="11" t="str">
        <x:v>EV-UI-001; EV-TEST-001</x:v>
      </x:c>
      <x:c r="O136" s="11" t="str">
        <x:v>Executed in the complete Flutter test run.</x:v>
      </x:c>
    </x:row>
    <x:row r="137">
      <x:c r="A137" s="11" t="str">
        <x:v>AUT-136</x:v>
      </x:c>
      <x:c r="B137" s="11" t="str">
        <x:v>Cross-functional</x:v>
      </x:c>
      <x:c r="C137" s="11" t="str">
        <x:v>AMORA AI launches directly into authentication</x:v>
      </x:c>
      <x:c r="D137" s="11" t="str">
        <x:v>Verify the automated contract: AMORA AI launches directly into authentication.</x:v>
      </x:c>
      <x:c r="E137" s="11" t="str">
        <x:v>Dependencies resolved; Flutter test binding available.</x:v>
      </x:c>
      <x:c r="F137" s="11" t="str">
        <x:v>Local fictional fixtures and bundled assets only.</x:v>
      </x:c>
      <x:c r="G137" s="11" t="str">
        <x:v>1. Run flutter test test/widget_test.dart.
2. Execute the testWidgets case named 'AMORA AI launches directly into authentication'.
3. Compare assertions and captured exceptions.</x:v>
      </x:c>
      <x:c r="H137" s="11" t="str">
        <x:v>All declared assertions pass without uncaught exceptions.</x:v>
      </x:c>
      <x:c r="I137" s="11" t="str">
        <x:v>Automated assertion completed without an exception.</x:v>
      </x:c>
      <x:c r="J137" s="11" t="str">
        <x:v>Pass</x:v>
      </x:c>
      <x:c r="K137" s="11" t="str">
        <x:v>Medium</x:v>
      </x:c>
      <x:c r="L137" s="11" t="str"/>
      <x:c r="M137" s="11" t="str">
        <x:v>Windows 11; Flutter 3.44.6; Dart 3.12.2; widget test</x:v>
      </x:c>
      <x:c r="N137" s="11" t="str">
        <x:v>EV-UI-001; EV-TEST-001</x:v>
      </x:c>
      <x:c r="O137" s="11" t="str">
        <x:v>Executed in the complete Flutter test run.</x:v>
      </x:c>
    </x:row>
    <x:row r="138">
      <x:c r="A138" s="11" t="str">
        <x:v>AUT-137</x:v>
      </x:c>
      <x:c r="B138" s="11" t="str">
        <x:v>Cross-functional</x:v>
      </x:c>
      <x:c r="C138" s="11" t="str">
        <x:v>profile information keeps all questions on one page</x:v>
      </x:c>
      <x:c r="D138" s="11" t="str">
        <x:v>Verify the automated contract: profile information keeps all questions on one page.</x:v>
      </x:c>
      <x:c r="E138" s="11" t="str">
        <x:v>Dependencies resolved; Flutter test binding available.</x:v>
      </x:c>
      <x:c r="F138" s="11" t="str">
        <x:v>Local fictional fixtures and bundled assets only.</x:v>
      </x:c>
      <x:c r="G138" s="11" t="str">
        <x:v>1. Run flutter test test/widget_test.dart.
2. Execute the testWidgets case named 'profile information keeps all questions on one page'.
3. Compare assertions and captured exceptions.</x:v>
      </x:c>
      <x:c r="H138" s="11" t="str">
        <x:v>All declared assertions pass without uncaught exceptions.</x:v>
      </x:c>
      <x:c r="I138" s="11" t="str">
        <x:v>The legacy test locator matched multiple elements after the current onboarding redesign and threw 'Too many elements'.</x:v>
      </x:c>
      <x:c r="J138" s="11" t="str">
        <x:v>Fail</x:v>
      </x:c>
      <x:c r="K138" s="11" t="str">
        <x:v>Medium</x:v>
      </x:c>
      <x:c r="L138" s="11" t="str">
        <x:v>P3</x:v>
      </x:c>
      <x:c r="M138" s="11" t="str">
        <x:v>Windows 11; Flutter 3.44.6; Dart 3.12.2; widget test</x:v>
      </x:c>
      <x:c r="N138" s="11" t="str">
        <x:v>EV-UI-005; EV-TEST-001</x:v>
      </x:c>
      <x:c r="O138" s="11" t="str">
        <x:v>Mapped to BUG-TST-002.</x:v>
      </x:c>
    </x:row>
    <x:row r="139">
      <x:c r="A139" s="11" t="str">
        <x:v>AUT-138</x:v>
      </x:c>
      <x:c r="B139" s="11" t="str">
        <x:v>Cross-functional</x:v>
      </x:c>
      <x:c r="C139" s="11" t="str">
        <x:v>login continues through profile information to Discover</x:v>
      </x:c>
      <x:c r="D139" s="11" t="str">
        <x:v>Verify the automated contract: login continues through profile information to Discover.</x:v>
      </x:c>
      <x:c r="E139" s="11" t="str">
        <x:v>Dependencies resolved; Flutter test binding available.</x:v>
      </x:c>
      <x:c r="F139" s="11" t="str">
        <x:v>Local fictional fixtures and bundled assets only.</x:v>
      </x:c>
      <x:c r="G139" s="11" t="str">
        <x:v>1. Run flutter test test/widget_test.dart.
2. Execute the testWidgets case named 'login continues through profile information to Discover'.
3. Compare assertions and captured exceptions.</x:v>
      </x:c>
      <x:c r="H139" s="11" t="str">
        <x:v>All declared assertions pass without uncaught exceptions.</x:v>
      </x:c>
      <x:c r="I139" s="11" t="str">
        <x:v>The legacy test locator matched multiple elements after the current onboarding redesign and threw 'Too many elements'.</x:v>
      </x:c>
      <x:c r="J139" s="11" t="str">
        <x:v>Fail</x:v>
      </x:c>
      <x:c r="K139" s="11" t="str">
        <x:v>Medium</x:v>
      </x:c>
      <x:c r="L139" s="11" t="str">
        <x:v>P3</x:v>
      </x:c>
      <x:c r="M139" s="11" t="str">
        <x:v>Windows 11; Flutter 3.44.6; Dart 3.12.2; widget test</x:v>
      </x:c>
      <x:c r="N139" s="11" t="str">
        <x:v>EV-UI-001; EV-TEST-001</x:v>
      </x:c>
      <x:c r="O139" s="11" t="str">
        <x:v>Mapped to BUG-TST-002.</x:v>
      </x:c>
    </x:row>
    <x:row r="140">
      <x:c r="A140" s="11" t="str">
        <x:v>AUT-139</x:v>
      </x:c>
      <x:c r="B140" s="11" t="str">
        <x:v>Cross-functional</x:v>
      </x:c>
      <x:c r="C140" s="11" t="str">
        <x:v>signup continues to the four-question profile screen</x:v>
      </x:c>
      <x:c r="D140" s="11" t="str">
        <x:v>Verify the automated contract: signup continues to the four-question profile screen.</x:v>
      </x:c>
      <x:c r="E140" s="11" t="str">
        <x:v>Dependencies resolved; Flutter test binding available.</x:v>
      </x:c>
      <x:c r="F140" s="11" t="str">
        <x:v>Local fictional fixtures and bundled assets only.</x:v>
      </x:c>
      <x:c r="G140" s="11" t="str">
        <x:v>1. Run flutter test test/widget_test.dart.
2. Execute the testWidgets case named 'signup continues to the four-question profile screen'.
3. Compare assertions and captured exceptions.</x:v>
      </x:c>
      <x:c r="H140" s="11" t="str">
        <x:v>All declared assertions pass without uncaught exceptions.</x:v>
      </x:c>
      <x:c r="I140" s="11" t="str">
        <x:v>The legacy test locator matched multiple elements after the current onboarding redesign and threw 'Too many elements'.</x:v>
      </x:c>
      <x:c r="J140" s="11" t="str">
        <x:v>Fail</x:v>
      </x:c>
      <x:c r="K140" s="11" t="str">
        <x:v>Medium</x:v>
      </x:c>
      <x:c r="L140" s="11" t="str">
        <x:v>P3</x:v>
      </x:c>
      <x:c r="M140" s="11" t="str">
        <x:v>Windows 11; Flutter 3.44.6; Dart 3.12.2; widget test</x:v>
      </x:c>
      <x:c r="N140" s="11" t="str">
        <x:v>EV-UI-001; EV-TEST-001</x:v>
      </x:c>
      <x:c r="O140" s="11" t="str">
        <x:v>Mapped to BUG-TST-002.</x:v>
      </x:c>
    </x:row>
    <x:row r="141">
      <x:c r="A141" s="11" t="str">
        <x:v>AUT-140</x:v>
      </x:c>
      <x:c r="B141" s="11" t="str">
        <x:v>Cross-functional</x:v>
      </x:c>
      <x:c r="C141" s="11" t="str">
        <x:v>hidden routes fall through to the Discover screen</x:v>
      </x:c>
      <x:c r="D141" s="11" t="str">
        <x:v>Verify the automated contract: hidden routes fall through to the Discover screen.</x:v>
      </x:c>
      <x:c r="E141" s="11" t="str">
        <x:v>Dependencies resolved; Flutter test binding available.</x:v>
      </x:c>
      <x:c r="F141" s="11" t="str">
        <x:v>Local fictional fixtures and bundled assets only.</x:v>
      </x:c>
      <x:c r="G141" s="11" t="str">
        <x:v>1. Run flutter test test/widget_test.dart.
2. Execute the testWidgets case named 'hidden routes fall through to the Discover screen'.
3. Compare assertions and captured exceptions.</x:v>
      </x:c>
      <x:c r="H141" s="11" t="str">
        <x:v>All declared assertions pass without uncaught exceptions.</x:v>
      </x:c>
      <x:c r="I141" s="11" t="str">
        <x:v>Automated assertion completed without an exception.</x:v>
      </x:c>
      <x:c r="J141" s="11" t="str">
        <x:v>Pass</x:v>
      </x:c>
      <x:c r="K141" s="11" t="str">
        <x:v>Medium</x:v>
      </x:c>
      <x:c r="L141" s="11" t="str"/>
      <x:c r="M141" s="11" t="str">
        <x:v>Windows 11; Flutter 3.44.6; Dart 3.12.2; widget test</x:v>
      </x:c>
      <x:c r="N141" s="11" t="str">
        <x:v>EV-UI-002; EV-TEST-001</x:v>
      </x:c>
      <x:c r="O141" s="11" t="str">
        <x:v>Executed in the complete Flutter test run.</x:v>
      </x:c>
    </x:row>
    <x:row r="142">
      <x:c r="A142" s="11" t="str">
        <x:v>AUT-141</x:v>
      </x:c>
      <x:c r="B142" s="11" t="str">
        <x:v>Cross-functional</x:v>
      </x:c>
      <x:c r="C142" s="11" t="str">
        <x:v>hidden feature labels are absent from normal runtime screens</x:v>
      </x:c>
      <x:c r="D142" s="11" t="str">
        <x:v>Verify the automated contract: hidden feature labels are absent from normal runtime screens.</x:v>
      </x:c>
      <x:c r="E142" s="11" t="str">
        <x:v>Dependencies resolved; Flutter test binding available.</x:v>
      </x:c>
      <x:c r="F142" s="11" t="str">
        <x:v>Local fictional fixtures and bundled assets only.</x:v>
      </x:c>
      <x:c r="G142" s="11" t="str">
        <x:v>1. Run flutter test test/widget_test.dart.
2. Execute the testWidgets case named 'hidden feature labels are absent from normal runtime screens'.
3. Compare assertions and captured exceptions.</x:v>
      </x:c>
      <x:c r="H142" s="11" t="str">
        <x:v>All declared assertions pass without uncaught exceptions.</x:v>
      </x:c>
      <x:c r="I142" s="11" t="str">
        <x:v>Automated assertion completed without an exception.</x:v>
      </x:c>
      <x:c r="J142" s="11" t="str">
        <x:v>Pass</x:v>
      </x:c>
      <x:c r="K142" s="11" t="str">
        <x:v>Medium</x:v>
      </x:c>
      <x:c r="L142" s="11" t="str"/>
      <x:c r="M142" s="11" t="str">
        <x:v>Windows 11; Flutter 3.44.6; Dart 3.12.2; widget test</x:v>
      </x:c>
      <x:c r="N142" s="11" t="str">
        <x:v>EV-TEST-001</x:v>
      </x:c>
      <x:c r="O142" s="11" t="str">
        <x:v>Executed in the complete Flutter test run.</x:v>
      </x:c>
    </x:row>
    <x:row r="143">
      <x:c r="A143" s="11" t="str">
        <x:v>AUT-142</x:v>
      </x:c>
      <x:c r="B143" s="11" t="str">
        <x:v>Cross-functional</x:v>
      </x:c>
      <x:c r="C143" s="11" t="str">
        <x:v>all registered production routes build</x:v>
      </x:c>
      <x:c r="D143" s="11" t="str">
        <x:v>Verify the automated contract: all registered production routes build.</x:v>
      </x:c>
      <x:c r="E143" s="11" t="str">
        <x:v>Dependencies resolved; Flutter test binding available.</x:v>
      </x:c>
      <x:c r="F143" s="11" t="str">
        <x:v>Local fictional fixtures and bundled assets only.</x:v>
      </x:c>
      <x:c r="G143" s="11" t="str">
        <x:v>1. Run flutter test test/widget_test.dart.
2. Execute the testWidgets case named 'all registered production routes build'.
3. Compare assertions and captured exceptions.</x:v>
      </x:c>
      <x:c r="H143" s="11" t="str">
        <x:v>All declared assertions pass without uncaught exceptions.</x:v>
      </x:c>
      <x:c r="I143" s="11" t="str">
        <x:v>/event-waitlist raised Flutter's ListTile background/ink visibility assertion because a decorated Container separates the tile from its Material ancestor.</x:v>
      </x:c>
      <x:c r="J143" s="11" t="str">
        <x:v>Fail</x:v>
      </x:c>
      <x:c r="K143" s="11" t="str">
        <x:v>Medium</x:v>
      </x:c>
      <x:c r="L143" s="11" t="str">
        <x:v>P2</x:v>
      </x:c>
      <x:c r="M143" s="11" t="str">
        <x:v>Windows 11; Flutter 3.44.6; Dart 3.12.2; widget test</x:v>
      </x:c>
      <x:c r="N143" s="11" t="str">
        <x:v>EV-TEST-001</x:v>
      </x:c>
      <x:c r="O143" s="11" t="str">
        <x:v>Mapped to BUG-EVT-002.</x:v>
      </x:c>
    </x:row>
    <x:row r="144">
      <x:c r="A144" s="11" t="str">
        <x:v>AUT-143</x:v>
      </x:c>
      <x:c r="B144" s="11" t="str">
        <x:v>Cross-functional</x:v>
      </x:c>
      <x:c r="C144" s="11" t="str">
        <x:v>primary journeys stay exception-free at supported widths</x:v>
      </x:c>
      <x:c r="D144" s="11" t="str">
        <x:v>Verify the automated contract: primary journeys stay exception-free at supported widths.</x:v>
      </x:c>
      <x:c r="E144" s="11" t="str">
        <x:v>Dependencies resolved; Flutter test binding available.</x:v>
      </x:c>
      <x:c r="F144" s="11" t="str">
        <x:v>Local fictional fixtures and bundled assets only.</x:v>
      </x:c>
      <x:c r="G144" s="11" t="str">
        <x:v>1. Run flutter test test/widget_test.dart.
2. Execute the testWidgets case named 'primary journeys stay exception-free at supported widths'.
3. Compare assertions and captured exceptions.</x:v>
      </x:c>
      <x:c r="H144" s="11" t="str">
        <x:v>All declared assertions pass without uncaught exceptions.</x:v>
      </x:c>
      <x:c r="I144" s="11" t="str">
        <x:v>/event-waitlist raised Flutter's ListTile background/ink visibility assertion because a decorated Container separates the tile from its Material ancestor.</x:v>
      </x:c>
      <x:c r="J144" s="11" t="str">
        <x:v>Fail</x:v>
      </x:c>
      <x:c r="K144" s="11" t="str">
        <x:v>Medium</x:v>
      </x:c>
      <x:c r="L144" s="11" t="str">
        <x:v>P2</x:v>
      </x:c>
      <x:c r="M144" s="11" t="str">
        <x:v>Windows 11; Flutter 3.44.6; Dart 3.12.2; widget test</x:v>
      </x:c>
      <x:c r="N144" s="11" t="str">
        <x:v>EV-UI-006; EV-TEST-001</x:v>
      </x:c>
      <x:c r="O144" s="11" t="str">
        <x:v>Mapped to BUG-EVT-002.</x:v>
      </x:c>
    </x:row>
    <x:row r="145">
      <x:c r="A145" s="11" t="str">
        <x:v>BLD-001</x:v>
      </x:c>
      <x:c r="B145" s="11" t="str">
        <x:v>Build &amp; Compatibility</x:v>
      </x:c>
      <x:c r="C145" s="11" t="str">
        <x:v>Clean generated output</x:v>
      </x:c>
      <x:c r="D145" s="11" t="str">
        <x:v>Verify a clean validation baseline.</x:v>
      </x:c>
      <x:c r="E145" s="11" t="str">
        <x:v>Project source and requested QA environment are available.</x:v>
      </x:c>
      <x:c r="F145" s="11" t="str">
        <x:v>Safe fictional/local data only.</x:v>
      </x:c>
      <x:c r="G145" s="11" t="str">
        <x:v>Run flutter clean and record the exit code.</x:v>
      </x:c>
      <x:c r="H145" s="11" t="str">
        <x:v>flutter clean completes.</x:v>
      </x:c>
      <x:c r="I145" s="11" t="str">
        <x:v>Completed successfully in 3.8 seconds.</x:v>
      </x:c>
      <x:c r="J145" s="11" t="str">
        <x:v>Pass</x:v>
      </x:c>
      <x:c r="K145" s="11" t="str">
        <x:v>High</x:v>
      </x:c>
      <x:c r="L145" s="11" t="str"/>
      <x:c r="M145" s="11" t="str">
        <x:v>Windows 11 QA workstation</x:v>
      </x:c>
      <x:c r="N145" s="11" t="str">
        <x:v>EV-BUILD-001</x:v>
      </x:c>
      <x:c r="O145" s="11" t="str"/>
    </x:row>
    <x:row r="146">
      <x:c r="A146" s="11" t="str">
        <x:v>BLD-002</x:v>
      </x:c>
      <x:c r="B146" s="11" t="str">
        <x:v>Build &amp; Compatibility</x:v>
      </x:c>
      <x:c r="C146" s="11" t="str">
        <x:v>Resolve dependencies</x:v>
      </x:c>
      <x:c r="D146" s="11" t="str">
        <x:v>Verify declared packages resolve.</x:v>
      </x:c>
      <x:c r="E146" s="11" t="str">
        <x:v>Project source and requested QA environment are available.</x:v>
      </x:c>
      <x:c r="F146" s="11" t="str">
        <x:v>Safe fictional/local data only.</x:v>
      </x:c>
      <x:c r="G146" s="11" t="str">
        <x:v>Run flutter pub get and review warnings.</x:v>
      </x:c>
      <x:c r="H146" s="11" t="str">
        <x:v>flutter pub get completes.</x:v>
      </x:c>
      <x:c r="I146" s="11" t="str">
        <x:v>Completed; four newer incompatible package versions were informational.</x:v>
      </x:c>
      <x:c r="J146" s="11" t="str">
        <x:v>Pass</x:v>
      </x:c>
      <x:c r="K146" s="11" t="str">
        <x:v>High</x:v>
      </x:c>
      <x:c r="L146" s="11" t="str"/>
      <x:c r="M146" s="11" t="str">
        <x:v>Windows 11 QA workstation</x:v>
      </x:c>
      <x:c r="N146" s="11" t="str">
        <x:v>EV-BUILD-001</x:v>
      </x:c>
      <x:c r="O146" s="11" t="str"/>
    </x:row>
    <x:row r="147">
      <x:c r="A147" s="11" t="str">
        <x:v>BLD-003</x:v>
      </x:c>
      <x:c r="B147" s="11" t="str">
        <x:v>Build &amp; Compatibility</x:v>
      </x:c>
      <x:c r="C147" s="11" t="str">
        <x:v>Format source</x:v>
      </x:c>
      <x:c r="D147" s="11" t="str">
        <x:v>Verify lib source is formatter-clean.</x:v>
      </x:c>
      <x:c r="E147" s="11" t="str">
        <x:v>Project source and requested QA environment are available.</x:v>
      </x:c>
      <x:c r="F147" s="11" t="str">
        <x:v>Safe fictional/local data only.</x:v>
      </x:c>
      <x:c r="G147" s="11" t="str">
        <x:v>Run dart format lib and record changed-file count.</x:v>
      </x:c>
      <x:c r="H147" s="11" t="str">
        <x:v>dart format lib reports no required changes.</x:v>
      </x:c>
      <x:c r="I147" s="11" t="str">
        <x:v>137 files checked; 0 changed.</x:v>
      </x:c>
      <x:c r="J147" s="11" t="str">
        <x:v>Pass</x:v>
      </x:c>
      <x:c r="K147" s="11" t="str">
        <x:v>High</x:v>
      </x:c>
      <x:c r="L147" s="11" t="str"/>
      <x:c r="M147" s="11" t="str">
        <x:v>Windows 11 QA workstation</x:v>
      </x:c>
      <x:c r="N147" s="11" t="str">
        <x:v>EV-BUILD-001</x:v>
      </x:c>
      <x:c r="O147" s="11" t="str"/>
    </x:row>
    <x:row r="148">
      <x:c r="A148" s="11" t="str">
        <x:v>BLD-004</x:v>
      </x:c>
      <x:c r="B148" s="11" t="str">
        <x:v>Build &amp; Compatibility</x:v>
      </x:c>
      <x:c r="C148" s="11" t="str">
        <x:v>Static analysis</x:v>
      </x:c>
      <x:c r="D148" s="11" t="str">
        <x:v>Detect analyzer errors and warnings.</x:v>
      </x:c>
      <x:c r="E148" s="11" t="str">
        <x:v>Project source and requested QA environment are available.</x:v>
      </x:c>
      <x:c r="F148" s="11" t="str">
        <x:v>Safe fictional/local data only.</x:v>
      </x:c>
      <x:c r="G148" s="11" t="str">
        <x:v>Run flutter analyze and record diagnostics.</x:v>
      </x:c>
      <x:c r="H148" s="11" t="str">
        <x:v>flutter analyze returns no issues.</x:v>
      </x:c>
      <x:c r="I148" s="11" t="str">
        <x:v>No issues found in 3.0 seconds.</x:v>
      </x:c>
      <x:c r="J148" s="11" t="str">
        <x:v>Pass</x:v>
      </x:c>
      <x:c r="K148" s="11" t="str">
        <x:v>High</x:v>
      </x:c>
      <x:c r="L148" s="11" t="str"/>
      <x:c r="M148" s="11" t="str">
        <x:v>Windows 11 QA workstation</x:v>
      </x:c>
      <x:c r="N148" s="11" t="str">
        <x:v>EV-BUILD-001</x:v>
      </x:c>
      <x:c r="O148" s="11" t="str"/>
    </x:row>
    <x:row r="149">
      <x:c r="A149" s="11" t="str">
        <x:v>BLD-005</x:v>
      </x:c>
      <x:c r="B149" s="11" t="str">
        <x:v>Build &amp; Compatibility</x:v>
      </x:c>
      <x:c r="C149" s="11" t="str">
        <x:v>Web release bundle</x:v>
      </x:c>
      <x:c r="D149" s="11" t="str">
        <x:v>Verify web compilation.</x:v>
      </x:c>
      <x:c r="E149" s="11" t="str">
        <x:v>Project source and requested QA environment are available.</x:v>
      </x:c>
      <x:c r="F149" s="11" t="str">
        <x:v>Safe fictional/local data only.</x:v>
      </x:c>
      <x:c r="G149" s="11" t="str">
        <x:v>Run flutter build web and inspect output directory.</x:v>
      </x:c>
      <x:c r="H149" s="11" t="str">
        <x:v>flutter build web succeeds.</x:v>
      </x:c>
      <x:c r="I149" s="11" t="str">
        <x:v>build/web created in 81.7 seconds; 202 files, 68,034,713 bytes.</x:v>
      </x:c>
      <x:c r="J149" s="11" t="str">
        <x:v>Pass</x:v>
      </x:c>
      <x:c r="K149" s="11" t="str">
        <x:v>High</x:v>
      </x:c>
      <x:c r="L149" s="11" t="str"/>
      <x:c r="M149" s="11" t="str">
        <x:v>Windows 11 QA workstation</x:v>
      </x:c>
      <x:c r="N149" s="11" t="str">
        <x:v>EV-BUILD-001</x:v>
      </x:c>
      <x:c r="O149" s="11" t="str"/>
    </x:row>
    <x:row r="150">
      <x:c r="A150" s="11" t="str">
        <x:v>BLD-006</x:v>
      </x:c>
      <x:c r="B150" s="11" t="str">
        <x:v>Build &amp; Compatibility</x:v>
      </x:c>
      <x:c r="C150" s="11" t="str">
        <x:v>Android debug APK</x:v>
      </x:c>
      <x:c r="D150" s="11" t="str">
        <x:v>Verify Android debug packaging.</x:v>
      </x:c>
      <x:c r="E150" s="11" t="str">
        <x:v>Project source and requested QA environment are available.</x:v>
      </x:c>
      <x:c r="F150" s="11" t="str">
        <x:v>Safe fictional/local data only.</x:v>
      </x:c>
      <x:c r="G150" s="11" t="str">
        <x:v>Run flutter build apk --debug; inspect path, size and manifest.</x:v>
      </x:c>
      <x:c r="H150" s="11" t="str">
        <x:v>flutter build apk --debug creates a non-empty APK.</x:v>
      </x:c>
      <x:c r="I150" s="11" t="str">
        <x:v>APK built in 54.5 seconds; 172,299,833 bytes.</x:v>
      </x:c>
      <x:c r="J150" s="11" t="str">
        <x:v>Pass</x:v>
      </x:c>
      <x:c r="K150" s="11" t="str">
        <x:v>High</x:v>
      </x:c>
      <x:c r="L150" s="11" t="str"/>
      <x:c r="M150" s="11" t="str">
        <x:v>Windows 11 QA workstation</x:v>
      </x:c>
      <x:c r="N150" s="11" t="str">
        <x:v>EV-BUILD-001</x:v>
      </x:c>
      <x:c r="O150" s="11" t="str"/>
    </x:row>
    <x:row r="151">
      <x:c r="A151" s="11" t="str">
        <x:v>REV-001</x:v>
      </x:c>
      <x:c r="B151" s="11" t="str">
        <x:v>Security Review</x:v>
      </x:c>
      <x:c r="C151" s="11" t="str">
        <x:v>Declared network and backend dependencies</x:v>
      </x:c>
      <x:c r="D151" s="11" t="str">
        <x:v>Identify production network/backend SDKs.</x:v>
      </x:c>
      <x:c r="E151" s="11" t="str">
        <x:v>Project source and requested QA environment are available.</x:v>
      </x:c>
      <x:c r="F151" s="11" t="str">
        <x:v>Safe fictional/local data only.</x:v>
      </x:c>
      <x:c r="G151" s="11" t="str">
        <x:v>1. Inspect or execute the stated check.
2. Record observed result.</x:v>
      </x:c>
      <x:c r="H151" s="11" t="str">
        <x:v>Dependency scope is accurately documented.</x:v>
      </x:c>
      <x:c r="I151" s="11" t="str">
        <x:v>No Firebase, HTTP/Dio, database, socket or payment SDK is declared; only Flutter, cupertino_icons and url_launcher.</x:v>
      </x:c>
      <x:c r="J151" s="11" t="str">
        <x:v>Pass</x:v>
      </x:c>
      <x:c r="K151" s="11" t="str">
        <x:v>High</x:v>
      </x:c>
      <x:c r="L151" s="11" t="str"/>
      <x:c r="M151" s="11" t="str">
        <x:v>Windows 11 QA workstation</x:v>
      </x:c>
      <x:c r="N151" s="11" t="str">
        <x:v>EV-SOURCE-001</x:v>
      </x:c>
      <x:c r="O151" s="11" t="str"/>
    </x:row>
    <x:row r="152">
      <x:c r="A152" s="11" t="str">
        <x:v>REV-002</x:v>
      </x:c>
      <x:c r="B152" s="11" t="str">
        <x:v>FAQ &amp; Support</x:v>
      </x:c>
      <x:c r="C152" s="11" t="str">
        <x:v>Email-only direct support exposure</x:v>
      </x:c>
      <x:c r="D152" s="11" t="str">
        <x:v>Verify direct support channels match the intended design.</x:v>
      </x:c>
      <x:c r="E152" s="11" t="str">
        <x:v>Project source and requested QA environment are available.</x:v>
      </x:c>
      <x:c r="F152" s="11" t="str">
        <x:v>Safe fictional/local data only.</x:v>
      </x:c>
      <x:c r="G152" s="11" t="str">
        <x:v>1. Inspect or execute the stated check.
2. Record observed result.</x:v>
      </x:c>
      <x:c r="H152" s="11" t="str">
        <x:v>Email is the only direct support method.</x:v>
      </x:c>
      <x:c r="I152" s="11" t="str">
        <x:v>FAQ source and automated tests expose email only; no call/ticket/WhatsApp support.</x:v>
      </x:c>
      <x:c r="J152" s="11" t="str">
        <x:v>Pass</x:v>
      </x:c>
      <x:c r="K152" s="11" t="str">
        <x:v>High</x:v>
      </x:c>
      <x:c r="L152" s="11" t="str"/>
      <x:c r="M152" s="11" t="str">
        <x:v>Windows 11 QA workstation</x:v>
      </x:c>
      <x:c r="N152" s="11" t="str">
        <x:v>EV-UI-006; EV-SOURCE-001</x:v>
      </x:c>
      <x:c r="O152" s="11" t="str"/>
    </x:row>
    <x:row r="153">
      <x:c r="A153" s="11" t="str">
        <x:v>REV-003</x:v>
      </x:c>
      <x:c r="B153" s="11" t="str">
        <x:v>Events</x:v>
      </x:c>
      <x:c r="C153" s="11" t="str">
        <x:v>Events access gate</x:v>
      </x:c>
      <x:c r="D153" s="11" t="str">
        <x:v>Verify Events renders without a purchase gate.</x:v>
      </x:c>
      <x:c r="E153" s="11" t="str">
        <x:v>Project source and requested QA environment are available.</x:v>
      </x:c>
      <x:c r="F153" s="11" t="str">
        <x:v>Safe fictional/local data only.</x:v>
      </x:c>
      <x:c r="G153" s="11" t="str">
        <x:v>1. Inspect or execute the stated check.
2. Record observed result.</x:v>
      </x:c>
      <x:c r="H153" s="11" t="str">
        <x:v>Events opens directly.</x:v>
      </x:c>
      <x:c r="I153" s="11" t="str">
        <x:v>Route maps to MainShell Events tab; dedicated automated case passed.</x:v>
      </x:c>
      <x:c r="J153" s="11" t="str">
        <x:v>Pass</x:v>
      </x:c>
      <x:c r="K153" s="11" t="str">
        <x:v>High</x:v>
      </x:c>
      <x:c r="L153" s="11" t="str"/>
      <x:c r="M153" s="11" t="str">
        <x:v>Windows 11 QA workstation</x:v>
      </x:c>
      <x:c r="N153" s="11" t="str">
        <x:v>EV-UI-003; EV-TEST-001</x:v>
      </x:c>
      <x:c r="O153" s="11" t="str"/>
    </x:row>
    <x:row r="154">
      <x:c r="A154" s="11" t="str">
        <x:v>REV-004</x:v>
      </x:c>
      <x:c r="B154" s="11" t="str">
        <x:v>Events</x:v>
      </x:c>
      <x:c r="C154" s="11" t="str">
        <x:v>Local event asset mapping</x:v>
      </x:c>
      <x:c r="D154" s="11" t="str">
        <x:v>Verify bundled event assets exist and are declared.</x:v>
      </x:c>
      <x:c r="E154" s="11" t="str">
        <x:v>Project source and requested QA environment are available.</x:v>
      </x:c>
      <x:c r="F154" s="11" t="str">
        <x:v>Safe fictional/local data only.</x:v>
      </x:c>
      <x:c r="G154" s="11" t="str">
        <x:v>1. Inspect or execute the stated check.
2. Record observed result.</x:v>
      </x:c>
      <x:c r="H154" s="11" t="str">
        <x:v>Unique local images resolve through the catalog.</x:v>
      </x:c>
      <x:c r="I154" s="11" t="str">
        <x:v>Five event PNGs are present, declared in pubspec, and asset test passed.</x:v>
      </x:c>
      <x:c r="J154" s="11" t="str">
        <x:v>Pass</x:v>
      </x:c>
      <x:c r="K154" s="11" t="str">
        <x:v>High</x:v>
      </x:c>
      <x:c r="L154" s="11" t="str"/>
      <x:c r="M154" s="11" t="str">
        <x:v>Windows 11 QA workstation</x:v>
      </x:c>
      <x:c r="N154" s="11" t="str">
        <x:v>EV-UI-003; EV-UI-004; EV-SOURCE-001</x:v>
      </x:c>
      <x:c r="O154" s="11" t="str"/>
    </x:row>
    <x:row r="155">
      <x:c r="A155" s="11" t="str">
        <x:v>REV-005</x:v>
      </x:c>
      <x:c r="B155" s="11" t="str">
        <x:v>Build &amp; Compatibility</x:v>
      </x:c>
      <x:c r="C155" s="11" t="str">
        <x:v>Production Android identity and signing</x:v>
      </x:c>
      <x:c r="D155" s="11" t="str">
        <x:v>Assess production release configuration.</x:v>
      </x:c>
      <x:c r="E155" s="11" t="str">
        <x:v>Project source and requested QA environment are available.</x:v>
      </x:c>
      <x:c r="F155" s="11" t="str">
        <x:v>Safe fictional/local data only.</x:v>
      </x:c>
      <x:c r="G155" s="11" t="str">
        <x:v>1. Inspect or execute the stated check.
2. Record observed result.</x:v>
      </x:c>
      <x:c r="H155" s="11" t="str">
        <x:v>Unique application ID and non-debug release signing are configured.</x:v>
      </x:c>
      <x:c r="I155" s="11" t="str">
        <x:v>applicationId is com.example.amora_ai and release uses the debug signing key.</x:v>
      </x:c>
      <x:c r="J155" s="11" t="str">
        <x:v>Fail</x:v>
      </x:c>
      <x:c r="K155" s="11" t="str">
        <x:v>High</x:v>
      </x:c>
      <x:c r="L155" s="11" t="str">
        <x:v>P1</x:v>
      </x:c>
      <x:c r="M155" s="11" t="str">
        <x:v>Windows 11 QA workstation</x:v>
      </x:c>
      <x:c r="N155" s="11" t="str">
        <x:v>EV-SOURCE-001</x:v>
      </x:c>
      <x:c r="O155" s="11" t="str">
        <x:v>BUG-BLD-001; release APK intentionally not attempted.</x:v>
      </x:c>
    </x:row>
    <x:row r="156">
      <x:c r="A156" s="11" t="str">
        <x:v>REV-006</x:v>
      </x:c>
      <x:c r="B156" s="11" t="str">
        <x:v>Events</x:v>
      </x:c>
      <x:c r="C156" s="11" t="str">
        <x:v>Current event date context</x:v>
      </x:c>
      <x:c r="D156" s="11" t="str">
        <x:v>Check that 'This week' content is time-current.</x:v>
      </x:c>
      <x:c r="E156" s="11" t="str">
        <x:v>Project source and requested QA environment are available.</x:v>
      </x:c>
      <x:c r="F156" s="11" t="str">
        <x:v>Safe fictional/local data only.</x:v>
      </x:c>
      <x:c r="G156" s="11" t="str">
        <x:v>1. Inspect or execute the stated check.
2. Record observed result.</x:v>
      </x:c>
      <x:c r="H156" s="11" t="str">
        <x:v>Displayed upcoming dates align with the current date.</x:v>
      </x:c>
      <x:c r="I156" s="11" t="str">
        <x:v>Static fixtures begin at 18 July while the QA date is 27 July 2026; freshness cannot be guaranteed.</x:v>
      </x:c>
      <x:c r="J156" s="11" t="str">
        <x:v>Fail</x:v>
      </x:c>
      <x:c r="K156" s="11" t="str">
        <x:v>Medium</x:v>
      </x:c>
      <x:c r="L156" s="11" t="str">
        <x:v>P3</x:v>
      </x:c>
      <x:c r="M156" s="11" t="str">
        <x:v>Windows 11 QA workstation</x:v>
      </x:c>
      <x:c r="N156" s="11" t="str">
        <x:v>EV-UI-003; EV-SOURCE-001</x:v>
      </x:c>
      <x:c r="O156" s="11" t="str">
        <x:v>Tracked as RISK-004 rather than a backend defect.</x:v>
      </x:c>
    </x:row>
    <x:row r="157">
      <x:c r="A157" s="11" t="str">
        <x:v>REV-007</x:v>
      </x:c>
      <x:c r="B157" s="11" t="str">
        <x:v>Security Review</x:v>
      </x:c>
      <x:c r="C157" s="11" t="str">
        <x:v>OTP confidentiality in production mode</x:v>
      </x:c>
      <x:c r="D157" s="11" t="str">
        <x:v>Check whether verification codes are exposed in UI.</x:v>
      </x:c>
      <x:c r="E157" s="11" t="str">
        <x:v>Project source and requested QA environment are available.</x:v>
      </x:c>
      <x:c r="F157" s="11" t="str">
        <x:v>Safe fictional/local data only.</x:v>
      </x:c>
      <x:c r="G157" s="11" t="str">
        <x:v>1. Inspect or execute the stated check.
2. Record observed result.</x:v>
      </x:c>
      <x:c r="H157" s="11" t="str">
        <x:v>Production authentication never displays an OTP.</x:v>
      </x:c>
      <x:c r="I157" s="11" t="str">
        <x:v>The frontend prototype generates an OTP locally and displays 'Demo OTP' in a snackbar.</x:v>
      </x:c>
      <x:c r="J157" s="11" t="str">
        <x:v>Fail</x:v>
      </x:c>
      <x:c r="K157" s="11" t="str">
        <x:v>High</x:v>
      </x:c>
      <x:c r="L157" s="11" t="str">
        <x:v>P1</x:v>
      </x:c>
      <x:c r="M157" s="11" t="str">
        <x:v>Windows 11 QA workstation</x:v>
      </x:c>
      <x:c r="N157" s="11" t="str">
        <x:v>EV-SOURCE-001</x:v>
      </x:c>
      <x:c r="O157" s="11" t="str">
        <x:v>BUG-SEC-001; acceptable only for an explicitly labelled demo build.</x:v>
      </x:c>
    </x:row>
    <x:row r="158">
      <x:c r="A158" s="11" t="str">
        <x:v>MAN-AUTH-001</x:v>
      </x:c>
      <x:c r="B158" s="11" t="str">
        <x:v>Authentication</x:v>
      </x:c>
      <x:c r="C158" s="11" t="str">
        <x:v>Real OTP delivery and verification</x:v>
      </x:c>
      <x:c r="D158" s="11" t="str">
        <x:v>Validate real otp delivery and verification.</x:v>
      </x:c>
      <x:c r="E158" s="11" t="str">
        <x:v>Project source and requested QA environment are available.</x:v>
      </x:c>
      <x:c r="F158" s="11" t="str">
        <x:v>Safe fictional/local data only.</x:v>
      </x:c>
      <x:c r="G158" s="11" t="str">
        <x:v>1. Inspect or execute the stated check.
2. Record observed result.</x:v>
      </x:c>
      <x:c r="H158" s="11" t="str">
        <x:v>Scenario completes against an integrated test environment.</x:v>
      </x:c>
      <x:c r="I158" s="11" t="str">
        <x:v>OTP provider/backend is not integrated.</x:v>
      </x:c>
      <x:c r="J158" s="11" t="str">
        <x:v>Blocked</x:v>
      </x:c>
      <x:c r="K158" s="11" t="str">
        <x:v>High</x:v>
      </x:c>
      <x:c r="L158" s="11" t="str"/>
      <x:c r="M158" s="11" t="str">
        <x:v>Required external/device environment unavailable</x:v>
      </x:c>
      <x:c r="N158" s="11" t="str">
        <x:v>EV-LIMIT-001</x:v>
      </x:c>
      <x:c r="O158" s="11" t="str">
        <x:v>No pass claim made.</x:v>
      </x:c>
    </x:row>
    <x:row r="159">
      <x:c r="A159" s="11" t="str">
        <x:v>MAN-AUTH-002</x:v>
      </x:c>
      <x:c r="B159" s="11" t="str">
        <x:v>Authentication</x:v>
      </x:c>
      <x:c r="C159" s="11" t="str">
        <x:v>Session persistence after process restart</x:v>
      </x:c>
      <x:c r="D159" s="11" t="str">
        <x:v>Validate session persistence after process restart.</x:v>
      </x:c>
      <x:c r="E159" s="11" t="str">
        <x:v>Project source and requested QA environment are available.</x:v>
      </x:c>
      <x:c r="F159" s="11" t="str">
        <x:v>Safe fictional/local data only.</x:v>
      </x:c>
      <x:c r="G159" s="11" t="str">
        <x:v>1. Inspect or execute the stated check.
2. Record observed result.</x:v>
      </x:c>
      <x:c r="H159" s="11" t="str">
        <x:v>Scenario completes against an integrated test environment.</x:v>
      </x:c>
      <x:c r="I159" s="11" t="str">
        <x:v>Session state is an in-memory ValueNotifier.</x:v>
      </x:c>
      <x:c r="J159" s="11" t="str">
        <x:v>Blocked</x:v>
      </x:c>
      <x:c r="K159" s="11" t="str">
        <x:v>High</x:v>
      </x:c>
      <x:c r="L159" s="11" t="str"/>
      <x:c r="M159" s="11" t="str">
        <x:v>Required external/device environment unavailable</x:v>
      </x:c>
      <x:c r="N159" s="11" t="str">
        <x:v>EV-LIMIT-001</x:v>
      </x:c>
      <x:c r="O159" s="11" t="str">
        <x:v>No pass claim made.</x:v>
      </x:c>
    </x:row>
    <x:row r="160">
      <x:c r="A160" s="11" t="str">
        <x:v>MAN-AUTH-003</x:v>
      </x:c>
      <x:c r="B160" s="11" t="str">
        <x:v>Authentication</x:v>
      </x:c>
      <x:c r="C160" s="11" t="str">
        <x:v>Password reset email delivery</x:v>
      </x:c>
      <x:c r="D160" s="11" t="str">
        <x:v>Validate password reset email delivery.</x:v>
      </x:c>
      <x:c r="E160" s="11" t="str">
        <x:v>Project source and requested QA environment are available.</x:v>
      </x:c>
      <x:c r="F160" s="11" t="str">
        <x:v>Safe fictional/local data only.</x:v>
      </x:c>
      <x:c r="G160" s="11" t="str">
        <x:v>1. Inspect or execute the stated check.
2. Record observed result.</x:v>
      </x:c>
      <x:c r="H160" s="11" t="str">
        <x:v>Scenario completes against an integrated test environment.</x:v>
      </x:c>
      <x:c r="I160" s="11" t="str">
        <x:v>No backend/email service is declared.</x:v>
      </x:c>
      <x:c r="J160" s="11" t="str">
        <x:v>Blocked</x:v>
      </x:c>
      <x:c r="K160" s="11" t="str">
        <x:v>High</x:v>
      </x:c>
      <x:c r="L160" s="11" t="str"/>
      <x:c r="M160" s="11" t="str">
        <x:v>Required external/device environment unavailable</x:v>
      </x:c>
      <x:c r="N160" s="11" t="str">
        <x:v>EV-LIMIT-001</x:v>
      </x:c>
      <x:c r="O160" s="11" t="str">
        <x:v>No pass claim made.</x:v>
      </x:c>
    </x:row>
    <x:row r="161">
      <x:c r="A161" s="11" t="str">
        <x:v>MAN-CHT-001</x:v>
      </x:c>
      <x:c r="B161" s="11" t="str">
        <x:v>Chats</x:v>
      </x:c>
      <x:c r="C161" s="11" t="str">
        <x:v>Real-time multi-user message delivery</x:v>
      </x:c>
      <x:c r="D161" s="11" t="str">
        <x:v>Validate real-time multi-user message delivery.</x:v>
      </x:c>
      <x:c r="E161" s="11" t="str">
        <x:v>Project source and requested QA environment are available.</x:v>
      </x:c>
      <x:c r="F161" s="11" t="str">
        <x:v>Safe fictional/local data only.</x:v>
      </x:c>
      <x:c r="G161" s="11" t="str">
        <x:v>1. Inspect or execute the stated check.
2. Record observed result.</x:v>
      </x:c>
      <x:c r="H161" s="11" t="str">
        <x:v>Scenario completes against an integrated test environment.</x:v>
      </x:c>
      <x:c r="I161" s="11" t="str">
        <x:v>No socket/API/Firebase transport is declared.</x:v>
      </x:c>
      <x:c r="J161" s="11" t="str">
        <x:v>Blocked</x:v>
      </x:c>
      <x:c r="K161" s="11" t="str">
        <x:v>High</x:v>
      </x:c>
      <x:c r="L161" s="11" t="str"/>
      <x:c r="M161" s="11" t="str">
        <x:v>Required external/device environment unavailable</x:v>
      </x:c>
      <x:c r="N161" s="11" t="str">
        <x:v>EV-LIMIT-001</x:v>
      </x:c>
      <x:c r="O161" s="11" t="str">
        <x:v>No pass claim made.</x:v>
      </x:c>
    </x:row>
    <x:row r="162">
      <x:c r="A162" s="11" t="str">
        <x:v>MAN-CHT-002</x:v>
      </x:c>
      <x:c r="B162" s="11" t="str">
        <x:v>Chats</x:v>
      </x:c>
      <x:c r="C162" s="11" t="str">
        <x:v>Push notification for a new message</x:v>
      </x:c>
      <x:c r="D162" s="11" t="str">
        <x:v>Validate push notification for a new message.</x:v>
      </x:c>
      <x:c r="E162" s="11" t="str">
        <x:v>Project source and requested QA environment are available.</x:v>
      </x:c>
      <x:c r="F162" s="11" t="str">
        <x:v>Safe fictional/local data only.</x:v>
      </x:c>
      <x:c r="G162" s="11" t="str">
        <x:v>1. Inspect or execute the stated check.
2. Record observed result.</x:v>
      </x:c>
      <x:c r="H162" s="11" t="str">
        <x:v>Scenario completes against an integrated test environment.</x:v>
      </x:c>
      <x:c r="I162" s="11" t="str">
        <x:v>No push notification SDK/backend is declared.</x:v>
      </x:c>
      <x:c r="J162" s="11" t="str">
        <x:v>Blocked</x:v>
      </x:c>
      <x:c r="K162" s="11" t="str">
        <x:v>High</x:v>
      </x:c>
      <x:c r="L162" s="11" t="str"/>
      <x:c r="M162" s="11" t="str">
        <x:v>Required external/device environment unavailable</x:v>
      </x:c>
      <x:c r="N162" s="11" t="str">
        <x:v>EV-LIMIT-001</x:v>
      </x:c>
      <x:c r="O162" s="11" t="str">
        <x:v>No pass claim made.</x:v>
      </x:c>
    </x:row>
    <x:row r="163">
      <x:c r="A163" s="11" t="str">
        <x:v>MAN-EVT-001</x:v>
      </x:c>
      <x:c r="B163" s="11" t="str">
        <x:v>Events</x:v>
      </x:c>
      <x:c r="C163" s="11" t="str">
        <x:v>Server-backed RSVP concurrency</x:v>
      </x:c>
      <x:c r="D163" s="11" t="str">
        <x:v>Validate server-backed rsvp concurrency.</x:v>
      </x:c>
      <x:c r="E163" s="11" t="str">
        <x:v>Project source and requested QA environment are available.</x:v>
      </x:c>
      <x:c r="F163" s="11" t="str">
        <x:v>Safe fictional/local data only.</x:v>
      </x:c>
      <x:c r="G163" s="11" t="str">
        <x:v>1. Inspect or execute the stated check.
2. Record observed result.</x:v>
      </x:c>
      <x:c r="H163" s="11" t="str">
        <x:v>Scenario completes against an integrated test environment.</x:v>
      </x:c>
      <x:c r="I163" s="11" t="str">
        <x:v>Events and participation are local fixture state.</x:v>
      </x:c>
      <x:c r="J163" s="11" t="str">
        <x:v>Blocked</x:v>
      </x:c>
      <x:c r="K163" s="11" t="str">
        <x:v>High</x:v>
      </x:c>
      <x:c r="L163" s="11" t="str"/>
      <x:c r="M163" s="11" t="str">
        <x:v>Required external/device environment unavailable</x:v>
      </x:c>
      <x:c r="N163" s="11" t="str">
        <x:v>EV-LIMIT-001</x:v>
      </x:c>
      <x:c r="O163" s="11" t="str">
        <x:v>No pass claim made.</x:v>
      </x:c>
    </x:row>
    <x:row r="164">
      <x:c r="A164" s="11" t="str">
        <x:v>MAN-PAY-001</x:v>
      </x:c>
      <x:c r="B164" s="11" t="str">
        <x:v>Subscription &amp; Payment</x:v>
      </x:c>
      <x:c r="C164" s="11" t="str">
        <x:v>Sandbox payment success/failure/cancel</x:v>
      </x:c>
      <x:c r="D164" s="11" t="str">
        <x:v>Validate sandbox payment success/failure/cancel.</x:v>
      </x:c>
      <x:c r="E164" s="11" t="str">
        <x:v>Project source and requested QA environment are available.</x:v>
      </x:c>
      <x:c r="F164" s="11" t="str">
        <x:v>Safe fictional/local data only.</x:v>
      </x:c>
      <x:c r="G164" s="11" t="str">
        <x:v>1. Inspect or execute the stated check.
2. Record observed result.</x:v>
      </x:c>
      <x:c r="H164" s="11" t="str">
        <x:v>Scenario completes against an integrated test environment.</x:v>
      </x:c>
      <x:c r="I164" s="11" t="str">
        <x:v>AMORA_MEMBERSHIP_TEST is disabled and no payment SDK exists.</x:v>
      </x:c>
      <x:c r="J164" s="11" t="str">
        <x:v>Blocked</x:v>
      </x:c>
      <x:c r="K164" s="11" t="str">
        <x:v>High</x:v>
      </x:c>
      <x:c r="L164" s="11" t="str"/>
      <x:c r="M164" s="11" t="str">
        <x:v>Required external/device environment unavailable</x:v>
      </x:c>
      <x:c r="N164" s="11" t="str">
        <x:v>EV-LIMIT-001</x:v>
      </x:c>
      <x:c r="O164" s="11" t="str">
        <x:v>No pass claim made.</x:v>
      </x:c>
    </x:row>
    <x:row r="165">
      <x:c r="A165" s="11" t="str">
        <x:v>MAN-NOT-001</x:v>
      </x:c>
      <x:c r="B165" s="11" t="str">
        <x:v>Notifications</x:v>
      </x:c>
      <x:c r="C165" s="11" t="str">
        <x:v>Remote deep-link delivery</x:v>
      </x:c>
      <x:c r="D165" s="11" t="str">
        <x:v>Validate remote deep-link delivery.</x:v>
      </x:c>
      <x:c r="E165" s="11" t="str">
        <x:v>Project source and requested QA environment are available.</x:v>
      </x:c>
      <x:c r="F165" s="11" t="str">
        <x:v>Safe fictional/local data only.</x:v>
      </x:c>
      <x:c r="G165" s="11" t="str">
        <x:v>1. Inspect or execute the stated check.
2. Record observed result.</x:v>
      </x:c>
      <x:c r="H165" s="11" t="str">
        <x:v>Scenario completes against an integrated test environment.</x:v>
      </x:c>
      <x:c r="I165" s="11" t="str">
        <x:v>Notification feed is local presentation data.</x:v>
      </x:c>
      <x:c r="J165" s="11" t="str">
        <x:v>Blocked</x:v>
      </x:c>
      <x:c r="K165" s="11" t="str">
        <x:v>High</x:v>
      </x:c>
      <x:c r="L165" s="11" t="str"/>
      <x:c r="M165" s="11" t="str">
        <x:v>Required external/device environment unavailable</x:v>
      </x:c>
      <x:c r="N165" s="11" t="str">
        <x:v>EV-LIMIT-001</x:v>
      </x:c>
      <x:c r="O165" s="11" t="str">
        <x:v>No pass claim made.</x:v>
      </x:c>
    </x:row>
    <x:row r="166">
      <x:c r="A166" s="11" t="str">
        <x:v>MAN-SUP-001</x:v>
      </x:c>
      <x:c r="B166" s="11" t="str">
        <x:v>FAQ &amp; Support</x:v>
      </x:c>
      <x:c r="C166" s="11" t="str">
        <x:v>Native email client launch on Android</x:v>
      </x:c>
      <x:c r="D166" s="11" t="str">
        <x:v>Validate native email client launch on android.</x:v>
      </x:c>
      <x:c r="E166" s="11" t="str">
        <x:v>Project source and requested QA environment are available.</x:v>
      </x:c>
      <x:c r="F166" s="11" t="str">
        <x:v>Safe fictional/local data only.</x:v>
      </x:c>
      <x:c r="G166" s="11" t="str">
        <x:v>1. Inspect or execute the stated check.
2. Record observed result.</x:v>
      </x:c>
      <x:c r="H166" s="11" t="str">
        <x:v>Scenario completes against an integrated test environment.</x:v>
      </x:c>
      <x:c r="I166" s="11" t="str">
        <x:v>No Android device/emulator is connected.</x:v>
      </x:c>
      <x:c r="J166" s="11" t="str">
        <x:v>Blocked</x:v>
      </x:c>
      <x:c r="K166" s="11" t="str">
        <x:v>High</x:v>
      </x:c>
      <x:c r="L166" s="11" t="str"/>
      <x:c r="M166" s="11" t="str">
        <x:v>Required external/device environment unavailable</x:v>
      </x:c>
      <x:c r="N166" s="11" t="str">
        <x:v>EV-LIMIT-001</x:v>
      </x:c>
      <x:c r="O166" s="11" t="str">
        <x:v>No pass claim made.</x:v>
      </x:c>
    </x:row>
    <x:row r="167">
      <x:c r="A167" s="11" t="str">
        <x:v>MAN-SEC-001</x:v>
      </x:c>
      <x:c r="B167" s="11" t="str">
        <x:v>Security Review</x:v>
      </x:c>
      <x:c r="C167" s="11" t="str">
        <x:v>Backend authorization and data access rules</x:v>
      </x:c>
      <x:c r="D167" s="11" t="str">
        <x:v>Validate backend authorization and data access rules.</x:v>
      </x:c>
      <x:c r="E167" s="11" t="str">
        <x:v>Project source and requested QA environment are available.</x:v>
      </x:c>
      <x:c r="F167" s="11" t="str">
        <x:v>Safe fictional/local data only.</x:v>
      </x:c>
      <x:c r="G167" s="11" t="str">
        <x:v>1. Inspect or execute the stated check.
2. Record observed result.</x:v>
      </x:c>
      <x:c r="H167" s="11" t="str">
        <x:v>Scenario completes against an integrated test environment.</x:v>
      </x:c>
      <x:c r="I167" s="11" t="str">
        <x:v>No backend project/configuration is in scope.</x:v>
      </x:c>
      <x:c r="J167" s="11" t="str">
        <x:v>Blocked</x:v>
      </x:c>
      <x:c r="K167" s="11" t="str">
        <x:v>High</x:v>
      </x:c>
      <x:c r="L167" s="11" t="str"/>
      <x:c r="M167" s="11" t="str">
        <x:v>Required external/device environment unavailable</x:v>
      </x:c>
      <x:c r="N167" s="11" t="str">
        <x:v>EV-LIMIT-001</x:v>
      </x:c>
      <x:c r="O167" s="11" t="str">
        <x:v>No pass claim made.</x:v>
      </x:c>
    </x:row>
    <x:row r="168">
      <x:c r="A168" s="11" t="str">
        <x:v>MAN-RESP-001</x:v>
      </x:c>
      <x:c r="B168" s="11" t="str">
        <x:v>Design System</x:v>
      </x:c>
      <x:c r="C168" s="11" t="str">
        <x:v>Physical Android 320x568 visual pass</x:v>
      </x:c>
      <x:c r="D168" s="11" t="str">
        <x:v>Validate physical android 320x568 visual pass.</x:v>
      </x:c>
      <x:c r="E168" s="11" t="str">
        <x:v>Project source and requested QA environment are available.</x:v>
      </x:c>
      <x:c r="F168" s="11" t="str">
        <x:v>Safe fictional/local data only.</x:v>
      </x:c>
      <x:c r="G168" s="11" t="str">
        <x:v>1. Inspect or execute the stated check.
2. Record observed result.</x:v>
      </x:c>
      <x:c r="H168" s="11" t="str">
        <x:v>Scenario is manually exercised with documented evidence.</x:v>
      </x:c>
      <x:c r="I168" s="11" t="str">
        <x:v>Requires device/emulator visual execution.</x:v>
      </x:c>
      <x:c r="J168" s="11" t="str">
        <x:v>Not Run</x:v>
      </x:c>
      <x:c r="K168" s="11" t="str">
        <x:v>Medium</x:v>
      </x:c>
      <x:c r="L168" s="11" t="str"/>
      <x:c r="M168" s="11" t="str">
        <x:v>Required external/device environment unavailable</x:v>
      </x:c>
      <x:c r="N168" s="11" t="str">
        <x:v>EV-LIMIT-001</x:v>
      </x:c>
      <x:c r="O168" s="11" t="str">
        <x:v>No pass claim made.</x:v>
      </x:c>
    </x:row>
    <x:row r="169">
      <x:c r="A169" s="11" t="str">
        <x:v>MAN-RESP-002</x:v>
      </x:c>
      <x:c r="B169" s="11" t="str">
        <x:v>Design System</x:v>
      </x:c>
      <x:c r="C169" s="11" t="str">
        <x:v>Physical Android 412x915 visual pass</x:v>
      </x:c>
      <x:c r="D169" s="11" t="str">
        <x:v>Validate physical android 412x915 visual pass.</x:v>
      </x:c>
      <x:c r="E169" s="11" t="str">
        <x:v>Project source and requested QA environment are available.</x:v>
      </x:c>
      <x:c r="F169" s="11" t="str">
        <x:v>Safe fictional/local data only.</x:v>
      </x:c>
      <x:c r="G169" s="11" t="str">
        <x:v>1. Inspect or execute the stated check.
2. Record observed result.</x:v>
      </x:c>
      <x:c r="H169" s="11" t="str">
        <x:v>Scenario is manually exercised with documented evidence.</x:v>
      </x:c>
      <x:c r="I169" s="11" t="str">
        <x:v>Requires device/emulator visual execution.</x:v>
      </x:c>
      <x:c r="J169" s="11" t="str">
        <x:v>Not Run</x:v>
      </x:c>
      <x:c r="K169" s="11" t="str">
        <x:v>Medium</x:v>
      </x:c>
      <x:c r="L169" s="11" t="str"/>
      <x:c r="M169" s="11" t="str">
        <x:v>Required external/device environment unavailable</x:v>
      </x:c>
      <x:c r="N169" s="11" t="str">
        <x:v>EV-LIMIT-001</x:v>
      </x:c>
      <x:c r="O169" s="11" t="str">
        <x:v>No pass claim made.</x:v>
      </x:c>
    </x:row>
    <x:row r="170">
      <x:c r="A170" s="11" t="str">
        <x:v>MAN-RESP-003</x:v>
      </x:c>
      <x:c r="B170" s="11" t="str">
        <x:v>Design System</x:v>
      </x:c>
      <x:c r="C170" s="11" t="str">
        <x:v>Tablet 768x1024 touch pass</x:v>
      </x:c>
      <x:c r="D170" s="11" t="str">
        <x:v>Validate tablet 768x1024 touch pass.</x:v>
      </x:c>
      <x:c r="E170" s="11" t="str">
        <x:v>Project source and requested QA environment are available.</x:v>
      </x:c>
      <x:c r="F170" s="11" t="str">
        <x:v>Safe fictional/local data only.</x:v>
      </x:c>
      <x:c r="G170" s="11" t="str">
        <x:v>1. Inspect or execute the stated check.
2. Record observed result.</x:v>
      </x:c>
      <x:c r="H170" s="11" t="str">
        <x:v>Scenario is manually exercised with documented evidence.</x:v>
      </x:c>
      <x:c r="I170" s="11" t="str">
        <x:v>No tablet device/emulator connected.</x:v>
      </x:c>
      <x:c r="J170" s="11" t="str">
        <x:v>Not Run</x:v>
      </x:c>
      <x:c r="K170" s="11" t="str">
        <x:v>Medium</x:v>
      </x:c>
      <x:c r="L170" s="11" t="str"/>
      <x:c r="M170" s="11" t="str">
        <x:v>Required external/device environment unavailable</x:v>
      </x:c>
      <x:c r="N170" s="11" t="str">
        <x:v>EV-LIMIT-001</x:v>
      </x:c>
      <x:c r="O170" s="11" t="str">
        <x:v>No pass claim made.</x:v>
      </x:c>
    </x:row>
    <x:row r="171">
      <x:c r="A171" s="11" t="str">
        <x:v>MAN-RESP-004</x:v>
      </x:c>
      <x:c r="B171" s="11" t="str">
        <x:v>Design System</x:v>
      </x:c>
      <x:c r="C171" s="11" t="str">
        <x:v>Landscape 1024x768 interaction pass</x:v>
      </x:c>
      <x:c r="D171" s="11" t="str">
        <x:v>Validate landscape 1024x768 interaction pass.</x:v>
      </x:c>
      <x:c r="E171" s="11" t="str">
        <x:v>Project source and requested QA environment are available.</x:v>
      </x:c>
      <x:c r="F171" s="11" t="str">
        <x:v>Safe fictional/local data only.</x:v>
      </x:c>
      <x:c r="G171" s="11" t="str">
        <x:v>1. Inspect or execute the stated check.
2. Record observed result.</x:v>
      </x:c>
      <x:c r="H171" s="11" t="str">
        <x:v>Scenario is manually exercised with documented evidence.</x:v>
      </x:c>
      <x:c r="I171" s="11" t="str">
        <x:v>Not manually exercised.</x:v>
      </x:c>
      <x:c r="J171" s="11" t="str">
        <x:v>Not Run</x:v>
      </x:c>
      <x:c r="K171" s="11" t="str">
        <x:v>Medium</x:v>
      </x:c>
      <x:c r="L171" s="11" t="str"/>
      <x:c r="M171" s="11" t="str">
        <x:v>Required external/device environment unavailable</x:v>
      </x:c>
      <x:c r="N171" s="11" t="str">
        <x:v>EV-LIMIT-001</x:v>
      </x:c>
      <x:c r="O171" s="11" t="str">
        <x:v>No pass claim made.</x:v>
      </x:c>
    </x:row>
    <x:row r="172">
      <x:c r="A172" s="11" t="str">
        <x:v>MAN-WEB-001</x:v>
      </x:c>
      <x:c r="B172" s="11" t="str">
        <x:v>Build &amp; Compatibility</x:v>
      </x:c>
      <x:c r="C172" s="11" t="str">
        <x:v>Chrome 1366x768 exploratory journey</x:v>
      </x:c>
      <x:c r="D172" s="11" t="str">
        <x:v>Validate chrome 1366x768 exploratory journey.</x:v>
      </x:c>
      <x:c r="E172" s="11" t="str">
        <x:v>Project source and requested QA environment are available.</x:v>
      </x:c>
      <x:c r="F172" s="11" t="str">
        <x:v>Safe fictional/local data only.</x:v>
      </x:c>
      <x:c r="G172" s="11" t="str">
        <x:v>1. Inspect or execute the stated check.
2. Record observed result.</x:v>
      </x:c>
      <x:c r="H172" s="11" t="str">
        <x:v>Scenario is manually exercised with documented evidence.</x:v>
      </x:c>
      <x:c r="I172" s="11" t="str">
        <x:v>Chrome debug process launched; interactive session was isolated from QA browser.</x:v>
      </x:c>
      <x:c r="J172" s="11" t="str">
        <x:v>Not Run</x:v>
      </x:c>
      <x:c r="K172" s="11" t="str">
        <x:v>Medium</x:v>
      </x:c>
      <x:c r="L172" s="11" t="str"/>
      <x:c r="M172" s="11" t="str">
        <x:v>Required external/device environment unavailable</x:v>
      </x:c>
      <x:c r="N172" s="11" t="str">
        <x:v>EV-LIMIT-001</x:v>
      </x:c>
      <x:c r="O172" s="11" t="str">
        <x:v>No pass claim made.</x:v>
      </x:c>
    </x:row>
    <x:row r="173">
      <x:c r="A173" s="11" t="str">
        <x:v>MAN-WEB-002</x:v>
      </x:c>
      <x:c r="B173" s="11" t="str">
        <x:v>Build &amp; Compatibility</x:v>
      </x:c>
      <x:c r="C173" s="11" t="str">
        <x:v>Chrome keyboard-only full journey</x:v>
      </x:c>
      <x:c r="D173" s="11" t="str">
        <x:v>Validate chrome keyboard-only full journey.</x:v>
      </x:c>
      <x:c r="E173" s="11" t="str">
        <x:v>Project source and requested QA environment are available.</x:v>
      </x:c>
      <x:c r="F173" s="11" t="str">
        <x:v>Safe fictional/local data only.</x:v>
      </x:c>
      <x:c r="G173" s="11" t="str">
        <x:v>1. Inspect or execute the stated check.
2. Record observed result.</x:v>
      </x:c>
      <x:c r="H173" s="11" t="str">
        <x:v>Scenario is manually exercised with documented evidence.</x:v>
      </x:c>
      <x:c r="I173" s="11" t="str">
        <x:v>Only targeted widget keyboard assertions were executed.</x:v>
      </x:c>
      <x:c r="J173" s="11" t="str">
        <x:v>Not Run</x:v>
      </x:c>
      <x:c r="K173" s="11" t="str">
        <x:v>Medium</x:v>
      </x:c>
      <x:c r="L173" s="11" t="str"/>
      <x:c r="M173" s="11" t="str">
        <x:v>Required external/device environment unavailable</x:v>
      </x:c>
      <x:c r="N173" s="11" t="str">
        <x:v>EV-LIMIT-001</x:v>
      </x:c>
      <x:c r="O173" s="11" t="str">
        <x:v>No pass claim made.</x:v>
      </x:c>
    </x:row>
    <x:row r="174">
      <x:c r="A174" s="11" t="str">
        <x:v>MAN-ACC-001</x:v>
      </x:c>
      <x:c r="B174" s="11" t="str">
        <x:v>Design System</x:v>
      </x:c>
      <x:c r="C174" s="11" t="str">
        <x:v>Screen reader announcement order</x:v>
      </x:c>
      <x:c r="D174" s="11" t="str">
        <x:v>Validate screen reader announcement order.</x:v>
      </x:c>
      <x:c r="E174" s="11" t="str">
        <x:v>Project source and requested QA environment are available.</x:v>
      </x:c>
      <x:c r="F174" s="11" t="str">
        <x:v>Safe fictional/local data only.</x:v>
      </x:c>
      <x:c r="G174" s="11" t="str">
        <x:v>1. Inspect or execute the stated check.
2. Record observed result.</x:v>
      </x:c>
      <x:c r="H174" s="11" t="str">
        <x:v>Scenario is manually exercised with documented evidence.</x:v>
      </x:c>
      <x:c r="I174" s="11" t="str">
        <x:v>No NVDA/TalkBack manual session was executed.</x:v>
      </x:c>
      <x:c r="J174" s="11" t="str">
        <x:v>Not Run</x:v>
      </x:c>
      <x:c r="K174" s="11" t="str">
        <x:v>Medium</x:v>
      </x:c>
      <x:c r="L174" s="11" t="str"/>
      <x:c r="M174" s="11" t="str">
        <x:v>Required external/device environment unavailable</x:v>
      </x:c>
      <x:c r="N174" s="11" t="str">
        <x:v>EV-LIMIT-001</x:v>
      </x:c>
      <x:c r="O174" s="11" t="str">
        <x:v>No pass claim made.</x:v>
      </x:c>
    </x:row>
    <x:row r="175">
      <x:c r="A175" s="11" t="str">
        <x:v>MAN-ACC-002</x:v>
      </x:c>
      <x:c r="B175" s="11" t="str">
        <x:v>Design System</x:v>
      </x:c>
      <x:c r="C175" s="11" t="str">
        <x:v>200% text scaling across all routes</x:v>
      </x:c>
      <x:c r="D175" s="11" t="str">
        <x:v>Validate 200% text scaling across all routes.</x:v>
      </x:c>
      <x:c r="E175" s="11" t="str">
        <x:v>Project source and requested QA environment are available.</x:v>
      </x:c>
      <x:c r="F175" s="11" t="str">
        <x:v>Safe fictional/local data only.</x:v>
      </x:c>
      <x:c r="G175" s="11" t="str">
        <x:v>1. Inspect or execute the stated check.
2. Record observed result.</x:v>
      </x:c>
      <x:c r="H175" s="11" t="str">
        <x:v>Scenario is manually exercised with documented evidence.</x:v>
      </x:c>
      <x:c r="I175" s="11" t="str">
        <x:v>Only targeted automated scaling checks exist.</x:v>
      </x:c>
      <x:c r="J175" s="11" t="str">
        <x:v>Not Run</x:v>
      </x:c>
      <x:c r="K175" s="11" t="str">
        <x:v>Medium</x:v>
      </x:c>
      <x:c r="L175" s="11" t="str"/>
      <x:c r="M175" s="11" t="str">
        <x:v>Required external/device environment unavailable</x:v>
      </x:c>
      <x:c r="N175" s="11" t="str">
        <x:v>EV-LIMIT-001</x:v>
      </x:c>
      <x:c r="O175" s="11" t="str">
        <x:v>No pass claim made.</x:v>
      </x:c>
    </x:row>
    <x:row r="176">
      <x:c r="A176" s="11" t="str">
        <x:v>MAN-PERF-001</x:v>
      </x:c>
      <x:c r="B176" s="11" t="str">
        <x:v>Build &amp; Compatibility</x:v>
      </x:c>
      <x:c r="C176" s="11" t="str">
        <x:v>Flutter DevTools frame profiling</x:v>
      </x:c>
      <x:c r="D176" s="11" t="str">
        <x:v>Validate flutter devtools frame profiling.</x:v>
      </x:c>
      <x:c r="E176" s="11" t="str">
        <x:v>Project source and requested QA environment are available.</x:v>
      </x:c>
      <x:c r="F176" s="11" t="str">
        <x:v>Safe fictional/local data only.</x:v>
      </x:c>
      <x:c r="G176" s="11" t="str">
        <x:v>1. Inspect or execute the stated check.
2. Record observed result.</x:v>
      </x:c>
      <x:c r="H176" s="11" t="str">
        <x:v>Scenario is manually exercised with documented evidence.</x:v>
      </x:c>
      <x:c r="I176" s="11" t="str">
        <x:v>No profiling-mode measurement was executed.</x:v>
      </x:c>
      <x:c r="J176" s="11" t="str">
        <x:v>Not Run</x:v>
      </x:c>
      <x:c r="K176" s="11" t="str">
        <x:v>Medium</x:v>
      </x:c>
      <x:c r="L176" s="11" t="str"/>
      <x:c r="M176" s="11" t="str">
        <x:v>Required external/device environment unavailable</x:v>
      </x:c>
      <x:c r="N176" s="11" t="str">
        <x:v>EV-LIMIT-001</x:v>
      </x:c>
      <x:c r="O176" s="11" t="str">
        <x:v>No pass claim made.</x:v>
      </x:c>
    </x:row>
    <x:row r="177">
      <x:c r="A177" s="11" t="str">
        <x:v>MAN-PERF-002</x:v>
      </x:c>
      <x:c r="B177" s="11" t="str">
        <x:v>Build &amp; Compatibility</x:v>
      </x:c>
      <x:c r="C177" s="11" t="str">
        <x:v>Memory/leak profiling over 30 minutes</x:v>
      </x:c>
      <x:c r="D177" s="11" t="str">
        <x:v>Validate memory/leak profiling over 30 minutes.</x:v>
      </x:c>
      <x:c r="E177" s="11" t="str">
        <x:v>Project source and requested QA environment are available.</x:v>
      </x:c>
      <x:c r="F177" s="11" t="str">
        <x:v>Safe fictional/local data only.</x:v>
      </x:c>
      <x:c r="G177" s="11" t="str">
        <x:v>1. Inspect or execute the stated check.
2. Record observed result.</x:v>
      </x:c>
      <x:c r="H177" s="11" t="str">
        <x:v>Scenario is manually exercised with documented evidence.</x:v>
      </x:c>
      <x:c r="I177" s="11" t="str">
        <x:v>No endurance session was executed.</x:v>
      </x:c>
      <x:c r="J177" s="11" t="str">
        <x:v>Not Run</x:v>
      </x:c>
      <x:c r="K177" s="11" t="str">
        <x:v>Medium</x:v>
      </x:c>
      <x:c r="L177" s="11" t="str"/>
      <x:c r="M177" s="11" t="str">
        <x:v>Required external/device environment unavailable</x:v>
      </x:c>
      <x:c r="N177" s="11" t="str">
        <x:v>EV-LIMIT-001</x:v>
      </x:c>
      <x:c r="O177" s="11" t="str">
        <x:v>No pass claim made.</x:v>
      </x:c>
    </x:row>
    <x:row r="178">
      <x:c r="A178" s="11" t="str">
        <x:v>MAN-UAT-001</x:v>
      </x:c>
      <x:c r="B178" s="11" t="str">
        <x:v>Cross-functional</x:v>
      </x:c>
      <x:c r="C178" s="11" t="str">
        <x:v>Stakeholder UAT sign-off</x:v>
      </x:c>
      <x:c r="D178" s="11" t="str">
        <x:v>Validate stakeholder uat sign-off.</x:v>
      </x:c>
      <x:c r="E178" s="11" t="str">
        <x:v>Project source and requested QA environment are available.</x:v>
      </x:c>
      <x:c r="F178" s="11" t="str">
        <x:v>Safe fictional/local data only.</x:v>
      </x:c>
      <x:c r="G178" s="11" t="str">
        <x:v>1. Inspect or execute the stated check.
2. Record observed result.</x:v>
      </x:c>
      <x:c r="H178" s="11" t="str">
        <x:v>Scenario is manually exercised with documented evidence.</x:v>
      </x:c>
      <x:c r="I178" s="11" t="str">
        <x:v>Requires product stakeholder execution.</x:v>
      </x:c>
      <x:c r="J178" s="11" t="str">
        <x:v>Not Run</x:v>
      </x:c>
      <x:c r="K178" s="11" t="str">
        <x:v>Medium</x:v>
      </x:c>
      <x:c r="L178" s="11" t="str"/>
      <x:c r="M178" s="11" t="str">
        <x:v>Required external/device environment unavailable</x:v>
      </x:c>
      <x:c r="N178" s="11" t="str">
        <x:v>EV-LIMIT-001</x:v>
      </x:c>
      <x:c r="O178" s="11" t="str">
        <x:v>No pass claim made.</x:v>
      </x:c>
    </x:row>
    <x:row r="179">
      <x:c r="A179" s="11" t="str">
        <x:v>NA-IOS-001</x:v>
      </x:c>
      <x:c r="B179" s="11" t="str">
        <x:v>Build &amp; Compatibility</x:v>
      </x:c>
      <x:c r="C179" s="11" t="str">
        <x:v>iOS build/install</x:v>
      </x:c>
      <x:c r="D179" s="11" t="str">
        <x:v>Validate ios build/install.</x:v>
      </x:c>
      <x:c r="E179" s="11" t="str">
        <x:v>Project source and requested QA environment are available.</x:v>
      </x:c>
      <x:c r="F179" s="11" t="str">
        <x:v>Safe fictional/local data only.</x:v>
      </x:c>
      <x:c r="G179" s="11" t="str">
        <x:v>1. Inspect or execute the stated check.
2. Record observed result.</x:v>
      </x:c>
      <x:c r="H179" s="11" t="str">
        <x:v>Scenario is executed only on an applicable/configured platform.</x:v>
      </x:c>
      <x:c r="I179" s="11" t="str">
        <x:v>iOS cannot be built on this Windows host.</x:v>
      </x:c>
      <x:c r="J179" s="11" t="str">
        <x:v>Not Applicable</x:v>
      </x:c>
      <x:c r="K179" s="11" t="str">
        <x:v>Medium</x:v>
      </x:c>
      <x:c r="L179" s="11" t="str"/>
      <x:c r="M179" s="11" t="str">
        <x:v>Required external/device environment unavailable</x:v>
      </x:c>
      <x:c r="N179" s="11" t="str">
        <x:v>EV-LIMIT-001</x:v>
      </x:c>
      <x:c r="O179" s="11" t="str">
        <x:v>No pass claim made.</x:v>
      </x:c>
    </x:row>
    <x:row r="180">
      <x:c r="A180" s="11" t="str">
        <x:v>NA-WIN-001</x:v>
      </x:c>
      <x:c r="B180" s="11" t="str">
        <x:v>Build &amp; Compatibility</x:v>
      </x:c>
      <x:c r="C180" s="11" t="str">
        <x:v>Windows desktop release build</x:v>
      </x:c>
      <x:c r="D180" s="11" t="str">
        <x:v>Validate windows desktop release build.</x:v>
      </x:c>
      <x:c r="E180" s="11" t="str">
        <x:v>Project source and requested QA environment are available.</x:v>
      </x:c>
      <x:c r="F180" s="11" t="str">
        <x:v>Safe fictional/local data only.</x:v>
      </x:c>
      <x:c r="G180" s="11" t="str">
        <x:v>1. Inspect or execute the stated check.
2. Record observed result.</x:v>
      </x:c>
      <x:c r="H180" s="11" t="str">
        <x:v>Scenario is executed only on an applicable/configured platform.</x:v>
      </x:c>
      <x:c r="I180" s="11" t="str">
        <x:v>Windows C++ workload is incomplete and desktop release is not requested.</x:v>
      </x:c>
      <x:c r="J180" s="11" t="str">
        <x:v>Not Applicable</x:v>
      </x:c>
      <x:c r="K180" s="11" t="str">
        <x:v>Medium</x:v>
      </x:c>
      <x:c r="L180" s="11" t="str"/>
      <x:c r="M180" s="11" t="str">
        <x:v>Required external/device environment unavailable</x:v>
      </x:c>
      <x:c r="N180" s="11" t="str">
        <x:v>EV-LIMIT-001</x:v>
      </x:c>
      <x:c r="O180" s="11" t="str">
        <x:v>No pass claim made.</x:v>
      </x:c>
    </x:row>
    <x:row r="181">
      <x:c r="A181" s="11" t="str">
        <x:v>NA-REL-001</x:v>
      </x:c>
      <x:c r="B181" s="11" t="str">
        <x:v>Build &amp; Compatibility</x:v>
      </x:c>
      <x:c r="C181" s="11" t="str">
        <x:v>Android release APK</x:v>
      </x:c>
      <x:c r="D181" s="11" t="str">
        <x:v>Validate android release apk.</x:v>
      </x:c>
      <x:c r="E181" s="11" t="str">
        <x:v>Project source and requested QA environment are available.</x:v>
      </x:c>
      <x:c r="F181" s="11" t="str">
        <x:v>Safe fictional/local data only.</x:v>
      </x:c>
      <x:c r="G181" s="11" t="str">
        <x:v>1. Inspect or execute the stated check.
2. Record observed result.</x:v>
      </x:c>
      <x:c r="H181" s="11" t="str">
        <x:v>Scenario is executed only on an applicable/configured platform.</x:v>
      </x:c>
      <x:c r="I181" s="11" t="str">
        <x:v>Release uses debug signing; forcing a release artifact would be misleading.</x:v>
      </x:c>
      <x:c r="J181" s="11" t="str">
        <x:v>Not Applicable</x:v>
      </x:c>
      <x:c r="K181" s="11" t="str">
        <x:v>Medium</x:v>
      </x:c>
      <x:c r="L181" s="11" t="str"/>
      <x:c r="M181" s="11" t="str">
        <x:v>Required external/device environment unavailable</x:v>
      </x:c>
      <x:c r="N181" s="11" t="str">
        <x:v>EV-LIMIT-001</x:v>
      </x:c>
      <x:c r="O181" s="11" t="str">
        <x:v>No pass claim made.</x:v>
      </x:c>
    </x:row>
  </x:sheetData>
  <x:conditionalFormatting sqref="J2:J18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  <x:cfRule type="containsText" dxfId="4" priority="5" operator="containsText" text="Not Applicable"/>
  </x:conditionalFormatting>
  <x:dataValidations count="3">
    <x:dataValidation type="list" sqref="J2:J181">
      <x:formula1>"Pass,Fail,Blocked,Not Run,Not Applicable"</x:formula1>
    </x:dataValidation>
    <x:dataValidation type="list" sqref="K2:K181">
      <x:formula1>"Critical,High,Medium,Low"</x:formula1>
    </x:dataValidation>
    <x:dataValidation type="list" sqref="L2:L181">
      <x:formula1>",P0,P1,P2,P3,P4"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42" hidden="0" customWidth="1"/>
    <x:col min="4" max="4" width="24" hidden="0" customWidth="1"/>
    <x:col min="5" max="5" width="32" hidden="0" customWidth="1"/>
    <x:col min="6" max="6" width="12" hidden="0" customWidth="1"/>
    <x:col min="7" max="7" width="22" hidden="0" customWidth="1"/>
    <x:col min="8" max="8" width="28" hidden="0" customWidth="1"/>
    <x:col min="9" max="9" width="28" hidden="0" customWidth="1"/>
  </x:cols>
  <x:sheetData>
    <x:row r="1" ht="30" customHeight="1">
      <x:c r="A1" s="6" t="str">
        <x:v>Requirement ID</x:v>
      </x:c>
      <x:c r="B1" s="6" t="str">
        <x:v>Module</x:v>
      </x:c>
      <x:c r="C1" s="6" t="str">
        <x:v>Requirement</x:v>
      </x:c>
      <x:c r="D1" s="6" t="str">
        <x:v>Source</x:v>
      </x:c>
      <x:c r="E1" s="6" t="str">
        <x:v>Test Case IDs</x:v>
      </x:c>
      <x:c r="F1" s="6" t="str">
        <x:v>Priority</x:v>
      </x:c>
      <x:c r="G1" s="6" t="str">
        <x:v>Implementation Status</x:v>
      </x:c>
      <x:c r="H1" s="6" t="str">
        <x:v>Test Status</x:v>
      </x:c>
      <x:c r="I1" s="6" t="str">
        <x:v>Remarks</x:v>
      </x:c>
    </x:row>
    <x:row r="2">
      <x:c r="A2" s="10" t="str">
        <x:v>REQ-AUTH-001</x:v>
      </x:c>
      <x:c r="B2" s="10" t="str">
        <x:v>Authentication</x:v>
      </x:c>
      <x:c r="C2" s="10" t="str">
        <x:v>Auth entry, login/signup/OTP validation and guarded actions</x:v>
      </x:c>
      <x:c r="D2" s="10" t="str">
        <x:v>User QA brief + inspected source</x:v>
      </x:c>
      <x:c r="E2" s="10" t="str">
        <x:v>AUT-005, AUT-006, AUT-007, AUT-008, AUT-009, AUT-010, AUT-134, AUT-135, MAN-AUTH-001, MAN-AUTH-002 +1 more</x:v>
      </x:c>
      <x:c r="F2" s="10" t="str">
        <x:v>High</x:v>
      </x:c>
      <x:c r="G2" s="10" t="str">
        <x:v>Implemented locally</x:v>
      </x:c>
      <x:c r="H2" s="10" t="str">
        <x:v>Pass: 8, Blocked: 3</x:v>
      </x:c>
      <x:c r="I2" s="10" t="str">
        <x:v>See catalogue and defect/risk logs.</x:v>
      </x:c>
    </x:row>
    <x:row r="3">
      <x:c r="A3" s="11" t="str">
        <x:v>REQ-ONB-001</x:v>
      </x:c>
      <x:c r="B3" s="11" t="str">
        <x:v>Onboarding</x:v>
      </x:c>
      <x:c r="C3" s="11" t="str">
        <x:v>Profile onboarding, birth-date age rule, city and completion flow</x:v>
      </x:c>
      <x:c r="D3" s="11" t="str">
        <x:v>User QA brief + inspected source</x:v>
      </x:c>
      <x:c r="E3" s="11" t="str">
        <x:v>AUT-100, AUT-101, AUT-102, AUT-103, AUT-104, AUT-105, AUT-106, AUT-107, AUT-108, AUT-109</x:v>
      </x:c>
      <x:c r="F3" s="11" t="str">
        <x:v>High</x:v>
      </x:c>
      <x:c r="G3" s="11" t="str">
        <x:v>Implemented locally</x:v>
      </x:c>
      <x:c r="H3" s="11" t="str">
        <x:v>Pass: 10</x:v>
      </x:c>
      <x:c r="I3" s="11" t="str">
        <x:v>See catalogue and defect/risk logs.</x:v>
      </x:c>
    </x:row>
    <x:row r="4">
      <x:c r="A4" s="11" t="str">
        <x:v>REQ-DIS-001</x:v>
      </x:c>
      <x:c r="B4" s="11" t="str">
        <x:v>Discover</x:v>
      </x:c>
      <x:c r="C4" s="11" t="str">
        <x:v>Single-card discovery, image navigation, gestures and actions</x:v>
      </x:c>
      <x:c r="D4" s="11" t="str">
        <x:v>User QA brief + inspected source</x:v>
      </x:c>
      <x:c r="E4" s="11" t="str">
        <x:v>AUT-027, AUT-028, AUT-029, AUT-030, AUT-031, AUT-032, AUT-033, AUT-034, AUT-035, AUT-036 +29 more</x:v>
      </x:c>
      <x:c r="F4" s="11" t="str">
        <x:v>High</x:v>
      </x:c>
      <x:c r="G4" s="11" t="str">
        <x:v>Implemented locally</x:v>
      </x:c>
      <x:c r="H4" s="11" t="str">
        <x:v>Pass: 24, Fail: 15</x:v>
      </x:c>
      <x:c r="I4" s="11" t="str">
        <x:v>See catalogue and defect/risk logs.</x:v>
      </x:c>
    </x:row>
    <x:row r="5">
      <x:c r="A5" s="11" t="str">
        <x:v>REQ-FLT-001</x:v>
      </x:c>
      <x:c r="B5" s="11" t="str">
        <x:v>Filters</x:v>
      </x:c>
      <x:c r="C5" s="11" t="str">
        <x:v>Open, search, select, reset and apply supported filters</x:v>
      </x:c>
      <x:c r="D5" s="11" t="str">
        <x:v>User QA brief + inspected source</x:v>
      </x:c>
      <x:c r="E5" s="11" t="str">
        <x:v>AUT-001, AUT-002, AUT-003, AUT-004</x:v>
      </x:c>
      <x:c r="F5" s="11" t="str">
        <x:v>Medium</x:v>
      </x:c>
      <x:c r="G5" s="11" t="str">
        <x:v>Implemented locally</x:v>
      </x:c>
      <x:c r="H5" s="11" t="str">
        <x:v>Pass: 4</x:v>
      </x:c>
      <x:c r="I5" s="11" t="str">
        <x:v>See catalogue and defect/risk logs.</x:v>
      </x:c>
    </x:row>
    <x:row r="6">
      <x:c r="A6" s="11" t="str">
        <x:v>REQ-PDT-001</x:v>
      </x:c>
      <x:c r="B6" s="11" t="str">
        <x:v>Profile Detail</x:v>
      </x:c>
      <x:c r="C6" s="11" t="str">
        <x:v>Gallery, story content, safety and supported actions</x:v>
      </x:c>
      <x:c r="D6" s="11" t="str">
        <x:v>User QA brief + inspected source</x:v>
      </x:c>
      <x:c r="E6" s="11" t="str">
        <x:v>AUT-110, AUT-111, AUT-112, AUT-113, AUT-114, AUT-115, AUT-116, AUT-117</x:v>
      </x:c>
      <x:c r="F6" s="11" t="str">
        <x:v>High</x:v>
      </x:c>
      <x:c r="G6" s="11" t="str">
        <x:v>Implemented locally</x:v>
      </x:c>
      <x:c r="H6" s="11" t="str">
        <x:v>Pass: 8</x:v>
      </x:c>
      <x:c r="I6" s="11" t="str">
        <x:v>See catalogue and defect/risk logs.</x:v>
      </x:c>
    </x:row>
    <x:row r="7">
      <x:c r="A7" s="11" t="str">
        <x:v>REQ-PRO-001</x:v>
      </x:c>
      <x:c r="B7" s="11" t="str">
        <x:v>User Profile</x:v>
      </x:c>
      <x:c r="C7" s="11" t="str">
        <x:v>Identity hero, completion, photos, prompts, settings and support</x:v>
      </x:c>
      <x:c r="D7" s="11" t="str">
        <x:v>User QA brief + inspected source</x:v>
      </x:c>
      <x:c r="E7" s="11" t="str">
        <x:v>AUT-118, AUT-119, AUT-120</x:v>
      </x:c>
      <x:c r="F7" s="11" t="str">
        <x:v>High</x:v>
      </x:c>
      <x:c r="G7" s="11" t="str">
        <x:v>Implemented locally</x:v>
      </x:c>
      <x:c r="H7" s="11" t="str">
        <x:v>Pass: 3</x:v>
      </x:c>
      <x:c r="I7" s="11" t="str">
        <x:v>See catalogue and defect/risk logs.</x:v>
      </x:c>
    </x:row>
    <x:row r="8">
      <x:c r="A8" s="11" t="str">
        <x:v>REQ-EDT-001</x:v>
      </x:c>
      <x:c r="B8" s="11" t="str">
        <x:v>Edit Profile</x:v>
      </x:c>
      <x:c r="C8" s="11" t="str">
        <x:v>Editable profile values and local save behavior</x:v>
      </x:c>
      <x:c r="D8" s="11" t="str">
        <x:v>User QA brief + inspected source</x:v>
      </x:c>
      <x:c r="E8" s="11" t="str">
        <x:v>AUT-120, AUT-128</x:v>
      </x:c>
      <x:c r="F8" s="11" t="str">
        <x:v>High</x:v>
      </x:c>
      <x:c r="G8" s="11" t="str">
        <x:v>Implemented locally</x:v>
      </x:c>
      <x:c r="H8" s="11" t="str">
        <x:v>Pass: 2</x:v>
      </x:c>
      <x:c r="I8" s="11" t="str">
        <x:v>See catalogue and defect/risk logs.</x:v>
      </x:c>
    </x:row>
    <x:row r="9">
      <x:c r="A9" s="11" t="str">
        <x:v>REQ-PRV-001</x:v>
      </x:c>
      <x:c r="B9" s="11" t="str">
        <x:v>Profile Preview</x:v>
      </x:c>
      <x:c r="C9" s="11" t="str">
        <x:v>Public-profile preview without dating actions</x:v>
      </x:c>
      <x:c r="D9" s="11" t="str">
        <x:v>User QA brief + inspected source</x:v>
      </x:c>
      <x:c r="E9" s="11" t="str"/>
      <x:c r="F9" s="11" t="str">
        <x:v>Medium</x:v>
      </x:c>
      <x:c r="G9" s="11" t="str">
        <x:v>Implemented locally</x:v>
      </x:c>
      <x:c r="H9" s="11" t="str"/>
      <x:c r="I9" s="11" t="str">
        <x:v>See catalogue and defect/risk logs.</x:v>
      </x:c>
    </x:row>
    <x:row r="10">
      <x:c r="A10" s="11" t="str">
        <x:v>REQ-MAT-001</x:v>
      </x:c>
      <x:c r="B10" s="11" t="str">
        <x:v>AI Matches</x:v>
      </x:c>
      <x:c r="C10" s="11" t="str">
        <x:v>Compatibility presentation without unsupported AI claims</x:v>
      </x:c>
      <x:c r="D10" s="11" t="str">
        <x:v>User QA brief + inspected source</x:v>
      </x:c>
      <x:c r="E10" s="11" t="str">
        <x:v>AUT-082, AUT-083, AUT-084, AUT-085, AUT-086, AUT-087</x:v>
      </x:c>
      <x:c r="F10" s="11" t="str">
        <x:v>Medium</x:v>
      </x:c>
      <x:c r="G10" s="11" t="str">
        <x:v>Frontend fixture</x:v>
      </x:c>
      <x:c r="H10" s="11" t="str">
        <x:v>Pass: 6</x:v>
      </x:c>
      <x:c r="I10" s="11" t="str">
        <x:v>Backend-dependent behavior remains blocked.</x:v>
      </x:c>
    </x:row>
    <x:row r="11">
      <x:c r="A11" s="11" t="str">
        <x:v>REQ-CHT-001</x:v>
      </x:c>
      <x:c r="B11" s="11" t="str">
        <x:v>Chats</x:v>
      </x:c>
      <x:c r="C11" s="11" t="str">
        <x:v>Inbox, filters, conversation routing and text messaging UI</x:v>
      </x:c>
      <x:c r="D11" s="11" t="str">
        <x:v>User QA brief + inspected source</x:v>
      </x:c>
      <x:c r="E11" s="11" t="str">
        <x:v>AUT-016, AUT-017, AUT-018, AUT-019, AUT-020, AUT-021, AUT-022, AUT-023, AUT-024, MAN-CHT-001 +1 more</x:v>
      </x:c>
      <x:c r="F11" s="11" t="str">
        <x:v>High</x:v>
      </x:c>
      <x:c r="G11" s="11" t="str">
        <x:v>Frontend fixture</x:v>
      </x:c>
      <x:c r="H11" s="11" t="str">
        <x:v>Pass: 9, Blocked: 2</x:v>
      </x:c>
      <x:c r="I11" s="11" t="str">
        <x:v>Backend-dependent behavior remains blocked.</x:v>
      </x:c>
    </x:row>
    <x:row r="12">
      <x:c r="A12" s="11" t="str">
        <x:v>REQ-EVT-001</x:v>
      </x:c>
      <x:c r="B12" s="11" t="str">
        <x:v>Events</x:v>
      </x:c>
      <x:c r="C12" s="11" t="str">
        <x:v>Direct discovery, filters, local images, RSVP states and My Events</x:v>
      </x:c>
      <x:c r="D12" s="11" t="str">
        <x:v>User QA brief + inspected source</x:v>
      </x:c>
      <x:c r="E12" s="11" t="str">
        <x:v>AUT-050, AUT-051, AUT-052, AUT-053, AUT-054, AUT-055, AUT-056, AUT-057, AUT-058, REV-003 +3 more</x:v>
      </x:c>
      <x:c r="F12" s="11" t="str">
        <x:v>High</x:v>
      </x:c>
      <x:c r="G12" s="11" t="str">
        <x:v>Frontend fixture</x:v>
      </x:c>
      <x:c r="H12" s="11" t="str">
        <x:v>Pass: 11, Fail: 1, Blocked: 1</x:v>
      </x:c>
      <x:c r="I12" s="11" t="str">
        <x:v>Backend-dependent behavior remains blocked.</x:v>
      </x:c>
    </x:row>
    <x:row r="13">
      <x:c r="A13" s="11" t="str">
        <x:v>REQ-EVD-001</x:v>
      </x:c>
      <x:c r="B13" s="11" t="str">
        <x:v>Event Detail &amp; My Events</x:v>
      </x:c>
      <x:c r="C13" s="11" t="str">
        <x:v>Immersive details, status CTA, safety and joined list</x:v>
      </x:c>
      <x:c r="D13" s="11" t="str">
        <x:v>User QA brief + inspected source</x:v>
      </x:c>
      <x:c r="E13" s="11" t="str">
        <x:v>AUT-054, AUT-055, AUT-057, AUT-089, AUT-124</x:v>
      </x:c>
      <x:c r="F13" s="11" t="str">
        <x:v>High</x:v>
      </x:c>
      <x:c r="G13" s="11" t="str">
        <x:v>Frontend fixture</x:v>
      </x:c>
      <x:c r="H13" s="11" t="str">
        <x:v>Pass: 4, Not Run: 1</x:v>
      </x:c>
      <x:c r="I13" s="11" t="str">
        <x:v>Backend-dependent behavior remains blocked.</x:v>
      </x:c>
    </x:row>
    <x:row r="14">
      <x:c r="A14" s="11" t="str">
        <x:v>REQ-NOT-001</x:v>
      </x:c>
      <x:c r="B14" s="11" t="str">
        <x:v>Notifications</x:v>
      </x:c>
      <x:c r="C14" s="11" t="str">
        <x:v>Local timeline, filters, gestures, badges and routing</x:v>
      </x:c>
      <x:c r="D14" s="11" t="str">
        <x:v>User QA brief + inspected source</x:v>
      </x:c>
      <x:c r="E14" s="11" t="str">
        <x:v>AUT-093, AUT-094, AUT-095, AUT-096, AUT-097, AUT-098, AUT-099, MAN-NOT-001</x:v>
      </x:c>
      <x:c r="F14" s="11" t="str">
        <x:v>Medium</x:v>
      </x:c>
      <x:c r="G14" s="11" t="str">
        <x:v>Frontend fixture</x:v>
      </x:c>
      <x:c r="H14" s="11" t="str">
        <x:v>Pass: 7, Blocked: 1</x:v>
      </x:c>
      <x:c r="I14" s="11" t="str">
        <x:v>Backend-dependent behavior remains blocked.</x:v>
      </x:c>
    </x:row>
    <x:row r="15">
      <x:c r="A15" s="11" t="str">
        <x:v>REQ-SUB-001</x:v>
      </x:c>
      <x:c r="B15" s="11" t="str">
        <x:v>Subscription &amp; Payment</x:v>
      </x:c>
      <x:c r="C15" s="11" t="str">
        <x:v>Plans and isolated AMORA_MEMBERSHIP_TEST simulation</x:v>
      </x:c>
      <x:c r="D15" s="11" t="str">
        <x:v>User QA brief + inspected source</x:v>
      </x:c>
      <x:c r="E15" s="11" t="str">
        <x:v>AUT-088, AUT-089, AUT-090, AUT-091, AUT-092, MAN-PAY-001</x:v>
      </x:c>
      <x:c r="F15" s="11" t="str">
        <x:v>High</x:v>
      </x:c>
      <x:c r="G15" s="11" t="str">
        <x:v>Test mode only</x:v>
      </x:c>
      <x:c r="H15" s="11" t="str">
        <x:v>Not Run: 5, Blocked: 1</x:v>
      </x:c>
      <x:c r="I15" s="11" t="str">
        <x:v>See catalogue and defect/risk logs.</x:v>
      </x:c>
    </x:row>
    <x:row r="16">
      <x:c r="A16" s="11" t="str">
        <x:v>REQ-SUP-001</x:v>
      </x:c>
      <x:c r="B16" s="11" t="str">
        <x:v>FAQ &amp; Support</x:v>
      </x:c>
      <x:c r="C16" s="11" t="str">
        <x:v>Searchable FAQs and email-only support</x:v>
      </x:c>
      <x:c r="D16" s="11" t="str">
        <x:v>User QA brief + inspected source</x:v>
      </x:c>
      <x:c r="E16" s="11" t="str">
        <x:v>AUT-059, AUT-060, AUT-061, AUT-062, REV-002, MAN-SUP-001</x:v>
      </x:c>
      <x:c r="F16" s="11" t="str">
        <x:v>High</x:v>
      </x:c>
      <x:c r="G16" s="11" t="str">
        <x:v>Implemented locally</x:v>
      </x:c>
      <x:c r="H16" s="11" t="str">
        <x:v>Pass: 5, Blocked: 1</x:v>
      </x:c>
      <x:c r="I16" s="11" t="str">
        <x:v>See catalogue and defect/risk logs.</x:v>
      </x:c>
    </x:row>
    <x:row r="17">
      <x:c r="A17" s="11" t="str">
        <x:v>REQ-SET-001</x:v>
      </x:c>
      <x:c r="B17" s="11" t="str">
        <x:v>Settings &amp; Account</x:v>
      </x:c>
      <x:c r="C17" s="11" t="str">
        <x:v>Account/privacy/notifications/logout/delete presentation</x:v>
      </x:c>
      <x:c r="D17" s="11" t="str">
        <x:v>User QA brief + inspected source</x:v>
      </x:c>
      <x:c r="E17" s="11" t="str">
        <x:v>AUT-094</x:v>
      </x:c>
      <x:c r="F17" s="11" t="str">
        <x:v>High</x:v>
      </x:c>
      <x:c r="G17" s="11" t="str">
        <x:v>Implemented locally</x:v>
      </x:c>
      <x:c r="H17" s="11" t="str">
        <x:v>Pass: 1</x:v>
      </x:c>
      <x:c r="I17" s="11" t="str">
        <x:v>See catalogue and defect/risk logs.</x:v>
      </x:c>
    </x:row>
    <x:row r="18">
      <x:c r="A18" s="11" t="str">
        <x:v>REQ-SAF-001</x:v>
      </x:c>
      <x:c r="B18" s="11" t="str">
        <x:v>Safety &amp; Privacy</x:v>
      </x:c>
      <x:c r="C18" s="11" t="str">
        <x:v>Report, block, safety, terms and privacy presentation</x:v>
      </x:c>
      <x:c r="D18" s="11" t="str">
        <x:v>User QA brief + inspected source</x:v>
      </x:c>
      <x:c r="E18" s="11" t="str">
        <x:v>AUT-108, AUT-116</x:v>
      </x:c>
      <x:c r="F18" s="11" t="str">
        <x:v>High</x:v>
      </x:c>
      <x:c r="G18" s="11" t="str">
        <x:v>Implemented locally</x:v>
      </x:c>
      <x:c r="H18" s="11" t="str">
        <x:v>Pass: 2</x:v>
      </x:c>
      <x:c r="I18" s="11" t="str">
        <x:v>See catalogue and defect/risk logs.</x:v>
      </x:c>
    </x:row>
    <x:row r="19">
      <x:c r="A19" s="11" t="str">
        <x:v>REQ-UI-001</x:v>
      </x:c>
      <x:c r="B19" s="11" t="str">
        <x:v>Design System</x:v>
      </x:c>
      <x:c r="C19" s="11" t="str">
        <x:v>Approved palette, typography, responsive layout and accessibility</x:v>
      </x:c>
      <x:c r="D19" s="11" t="str">
        <x:v>User QA brief + inspected source</x:v>
      </x:c>
      <x:c r="E19" s="11" t="str">
        <x:v>AUT-011, AUT-012, AUT-013, AUT-014, AUT-015, AUT-025, AUT-026, AUT-079, AUT-080, AUT-081 +6 more</x:v>
      </x:c>
      <x:c r="F19" s="11" t="str">
        <x:v>High</x:v>
      </x:c>
      <x:c r="G19" s="11" t="str">
        <x:v>Partial</x:v>
      </x:c>
      <x:c r="H19" s="11" t="str">
        <x:v>Pass: 8, Fail: 2, Not Run: 6</x:v>
      </x:c>
      <x:c r="I19" s="11" t="str">
        <x:v>See catalogue and defect/risk logs.</x:v>
      </x:c>
    </x:row>
    <x:row r="20">
      <x:c r="A20" s="11" t="str">
        <x:v>REQ-BLD-001</x:v>
      </x:c>
      <x:c r="B20" s="11" t="str">
        <x:v>Build &amp; Compatibility</x:v>
      </x:c>
      <x:c r="C20" s="11" t="str">
        <x:v>Analyzer-clean web and Android debug builds</x:v>
      </x:c>
      <x:c r="D20" s="11" t="str">
        <x:v>User QA brief + inspected source</x:v>
      </x:c>
      <x:c r="E20" s="11" t="str">
        <x:v>BLD-001, BLD-002, BLD-003, BLD-004, BLD-005, BLD-006, REV-005, MAN-WEB-001, MAN-WEB-002, MAN-PERF-001 +4 more</x:v>
      </x:c>
      <x:c r="F20" s="11" t="str">
        <x:v>Critical</x:v>
      </x:c>
      <x:c r="G20" s="11" t="str">
        <x:v>Implemented</x:v>
      </x:c>
      <x:c r="H20" s="11" t="str">
        <x:v>Pass: 6, Fail: 1, Not Run: 4, Not Applicable: 3</x:v>
      </x:c>
      <x:c r="I20" s="11" t="str">
        <x:v>See catalogue and defect/risk logs.</x:v>
      </x:c>
    </x:row>
    <x:row r="21">
      <x:c r="A21" s="11" t="str">
        <x:v>REQ-SEC-001</x:v>
      </x:c>
      <x:c r="B21" s="11" t="str">
        <x:v>Security Review</x:v>
      </x:c>
      <x:c r="C21" s="11" t="str">
        <x:v>No secret exposure and production-safe auth/payment boundaries</x:v>
      </x:c>
      <x:c r="D21" s="11" t="str">
        <x:v>User QA brief + inspected source</x:v>
      </x:c>
      <x:c r="E21" s="11" t="str">
        <x:v>REV-001, REV-007, MAN-SEC-001</x:v>
      </x:c>
      <x:c r="F21" s="11" t="str">
        <x:v>Critical</x:v>
      </x:c>
      <x:c r="G21" s="11" t="str">
        <x:v>Not production ready</x:v>
      </x:c>
      <x:c r="H21" s="11" t="str">
        <x:v>Pass: 1, Fail: 1, Blocked: 1</x:v>
      </x:c>
      <x:c r="I21" s="11" t="str">
        <x:v>Backend-dependent behavior remains blocked.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36" hidden="0" customWidth="1"/>
    <x:col min="5" max="5" width="32" hidden="0" customWidth="1"/>
    <x:col min="6" max="6" width="30" hidden="0" customWidth="1"/>
    <x:col min="7" max="7" width="32" hidden="0" customWidth="1"/>
    <x:col min="8" max="8" width="10" hidden="0" customWidth="1"/>
    <x:col min="9" max="9" width="12" hidden="0" customWidth="1"/>
    <x:col min="10" max="10" width="12" hidden="0" customWidth="1"/>
    <x:col min="11" max="11" width="18" hidden="0" customWidth="1"/>
    <x:col min="12" max="12" width="40" hidden="0" customWidth="1"/>
  </x:cols>
  <x:sheetData>
    <x:row r="1" ht="30" customHeight="1">
      <x:c r="A1" s="6" t="str">
        <x:v>Defect ID</x:v>
      </x:c>
      <x:c r="B1" s="6" t="str">
        <x:v>Module</x:v>
      </x:c>
      <x:c r="C1" s="6" t="str">
        <x:v>Title</x:v>
      </x:c>
      <x:c r="D1" s="6" t="str">
        <x:v>Description</x:v>
      </x:c>
      <x:c r="E1" s="6" t="str">
        <x:v>Steps to Reproduce</x:v>
      </x:c>
      <x:c r="F1" s="6" t="str">
        <x:v>Expected Result</x:v>
      </x:c>
      <x:c r="G1" s="6" t="str">
        <x:v>Actual Result</x:v>
      </x:c>
      <x:c r="H1" s="6" t="str">
        <x:v>Severity</x:v>
      </x:c>
      <x:c r="I1" s="6" t="str">
        <x:v>Priority</x:v>
      </x:c>
      <x:c r="J1" s="6" t="str">
        <x:v>Status</x:v>
      </x:c>
      <x:c r="K1" s="6" t="str">
        <x:v>Evidence</x:v>
      </x:c>
      <x:c r="L1" s="6" t="str">
        <x:v>Recommended Fix</x:v>
      </x:c>
    </x:row>
    <x:row r="2">
      <x:c r="A2" s="10" t="str">
        <x:v>BUG-UI-001</x:v>
      </x:c>
      <x:c r="B2" s="10" t="str">
        <x:v>Design System</x:v>
      </x:c>
      <x:c r="C2" s="10" t="str">
        <x:v>Secondary pink with white text fails the tested AA threshold</x:v>
      </x:c>
      <x:c r="D2" s="10" t="str">
        <x:v>The automated contrast function measured 3.10:1.</x:v>
      </x:c>
      <x:c r="E2" s="10" t="str">
        <x:v>Run flutter test test/brand_theme_test.dart.</x:v>
      </x:c>
      <x:c r="F2" s="10" t="str">
        <x:v>Contrast is greater than 4.5:1 for normal text.</x:v>
      </x:c>
      <x:c r="G2" s="10" t="str">
        <x:v>3.1024:1.</x:v>
      </x:c>
      <x:c r="H2" s="10" t="str">
        <x:v>P2</x:v>
      </x:c>
      <x:c r="I2" s="10" t="str">
        <x:v>High</x:v>
      </x:c>
      <x:c r="J2" s="10" t="str">
        <x:v>Open</x:v>
      </x:c>
      <x:c r="K2" s="10" t="str">
        <x:v>EV-TEST-001</x:v>
      </x:c>
      <x:c r="L2" s="10" t="str">
        <x:v>Use primary text on pink or restrict white-on-pink to qualifying large/bold text.</x:v>
      </x:c>
    </x:row>
    <x:row r="3">
      <x:c r="A3" s="11" t="str">
        <x:v>BUG-UI-002</x:v>
      </x:c>
      <x:c r="B3" s="11" t="str">
        <x:v>Design System</x:v>
      </x:c>
      <x:c r="C3" s="11" t="str">
        <x:v>Secondary action resolves to the primary color</x:v>
      </x:c>
      <x:c r="D3" s="11" t="str">
        <x:v>A semantic secondary FilledButton resolves to #3D0B3F.</x:v>
      </x:c>
      <x:c r="E3" s="11" t="str">
        <x:v>Run the brand-theme secondary-action widget test.</x:v>
      </x:c>
      <x:c r="F3" s="11" t="str">
        <x:v>Background #EC5FA8 with its defined foreground.</x:v>
      </x:c>
      <x:c r="G3" s="11" t="str">
        <x:v>Background #3D0B3F.</x:v>
      </x:c>
      <x:c r="H3" s="11" t="str">
        <x:v>P3</x:v>
      </x:c>
      <x:c r="I3" s="11" t="str">
        <x:v>Medium</x:v>
      </x:c>
      <x:c r="J3" s="11" t="str">
        <x:v>Open</x:v>
      </x:c>
      <x:c r="K3" s="11" t="str">
        <x:v>EV-TEST-001</x:v>
      </x:c>
      <x:c r="L3" s="11" t="str">
        <x:v>Correct the secondary variant style mapping and retain semantic tests.</x:v>
      </x:c>
    </x:row>
    <x:row r="4">
      <x:c r="A4" s="11" t="str">
        <x:v>BUG-EVT-001</x:v>
      </x:c>
      <x:c r="B4" s="11" t="str">
        <x:v>Events</x:v>
      </x:c>
      <x:c r="C4" s="11" t="str">
        <x:v>Featured event card overflows with scaled text on a narrow screen</x:v>
      </x:c>
      <x:c r="D4" s="11" t="str">
        <x:v>A Column in events_widgets.dart overflowed by 35 px.</x:v>
      </x:c>
      <x:c r="E4" s="11" t="str">
        <x:v>Render Events at 320x700 with text scale 1.3.</x:v>
      </x:c>
      <x:c r="F4" s="11" t="str">
        <x:v>All content remains visible without RenderFlex overflow.</x:v>
      </x:c>
      <x:c r="G4" s="11" t="str">
        <x:v>35 px bottom overflow.</x:v>
      </x:c>
      <x:c r="H4" s="11" t="str">
        <x:v>P2</x:v>
      </x:c>
      <x:c r="I4" s="11" t="str">
        <x:v>High</x:v>
      </x:c>
      <x:c r="J4" s="11" t="str">
        <x:v>Open</x:v>
      </x:c>
      <x:c r="K4" s="11" t="str">
        <x:v>EV-TEST-001</x:v>
      </x:c>
      <x:c r="L4" s="11" t="str">
        <x:v>Remove fixed vertical assumptions; use flexible/scroll-aware card content.</x:v>
      </x:c>
    </x:row>
    <x:row r="5">
      <x:c r="A5" s="11" t="str">
        <x:v>BUG-EVT-002</x:v>
      </x:c>
      <x:c r="B5" s="11" t="str">
        <x:v>Event Waitlist</x:v>
      </x:c>
      <x:c r="C5" s="11" t="str">
        <x:v>Waitlist route violates ListTile Material painting contract</x:v>
      </x:c>
      <x:c r="D5" s="11" t="str">
        <x:v>A decorated Container obscures the ListTile Material ink/background.</x:v>
      </x:c>
      <x:c r="E5" s="11" t="str">
        <x:v>Build /event-waitlist in the all-routes widget test.</x:v>
      </x:c>
      <x:c r="F5" s="11" t="str">
        <x:v>Route builds without FlutterError.</x:v>
      </x:c>
      <x:c r="G5" s="11" t="str">
        <x:v>ListTile background/ink visibility assertion.</x:v>
      </x:c>
      <x:c r="H5" s="11" t="str">
        <x:v>P2</x:v>
      </x:c>
      <x:c r="I5" s="11" t="str">
        <x:v>High</x:v>
      </x:c>
      <x:c r="J5" s="11" t="str">
        <x:v>Open</x:v>
      </x:c>
      <x:c r="K5" s="11" t="str">
        <x:v>EV-TEST-001</x:v>
      </x:c>
      <x:c r="L5" s="11" t="str">
        <x:v>Wrap the SwitchListTile in Material or move decoration to a Material ancestor.</x:v>
      </x:c>
    </x:row>
    <x:row r="6">
      <x:c r="A6" s="11" t="str">
        <x:v>BUG-TST-001</x:v>
      </x:c>
      <x:c r="B6" s="11" t="str">
        <x:v>Regression Tests</x:v>
      </x:c>
      <x:c r="C6" s="11" t="str">
        <x:v>Legacy Discover and Events-gate tests contradict current requirements</x:v>
      </x:c>
      <x:c r="D6" s="11" t="str">
        <x:v>Old four-tab, widget-key and locked-Events expectations fail against the current five-tab direct Events flow.</x:v>
      </x:c>
      <x:c r="E6" s="11" t="str">
        <x:v>Run flutter test; review four_tab_discover_test.dart and the locked-state regression case.</x:v>
      </x:c>
      <x:c r="F6" s="11" t="str">
        <x:v>Regression tests represent current route and widget contracts.</x:v>
      </x:c>
      <x:c r="G6" s="11" t="str">
        <x:v>Fifteen related failures target removed/renamed behavior.</x:v>
      </x:c>
      <x:c r="H6" s="11" t="str">
        <x:v>P2</x:v>
      </x:c>
      <x:c r="I6" s="11" t="str">
        <x:v>High</x:v>
      </x:c>
      <x:c r="J6" s="11" t="str">
        <x:v>Open</x:v>
      </x:c>
      <x:c r="K6" s="11" t="str">
        <x:v>EV-TEST-001</x:v>
      </x:c>
      <x:c r="L6" s="11" t="str">
        <x:v>Retire obsolete tests and merge non-duplicative assertions into the current Discover/Events suites.</x:v>
      </x:c>
    </x:row>
    <x:row r="7">
      <x:c r="A7" s="11" t="str">
        <x:v>BUG-TST-002</x:v>
      </x:c>
      <x:c r="B7" s="11" t="str">
        <x:v>Regression Tests</x:v>
      </x:c>
      <x:c r="C7" s="11" t="str">
        <x:v>Legacy onboarding journey tests use ambiguous text locators</x:v>
      </x:c>
      <x:c r="D7" s="11" t="str">
        <x:v>Three tests throw 'Too many elements' after the onboarding redesign.</x:v>
      </x:c>
      <x:c r="E7" s="11" t="str">
        <x:v>Run test/widget_test.dart.</x:v>
      </x:c>
      <x:c r="F7" s="11" t="str">
        <x:v>Locators uniquely identify the intended control.</x:v>
      </x:c>
      <x:c r="G7" s="11" t="str">
        <x:v>Ambiguous finder failures.</x:v>
      </x:c>
      <x:c r="H7" s="11" t="str">
        <x:v>P3</x:v>
      </x:c>
      <x:c r="I7" s="11" t="str">
        <x:v>Medium</x:v>
      </x:c>
      <x:c r="J7" s="11" t="str">
        <x:v>Open</x:v>
      </x:c>
      <x:c r="K7" s="11" t="str">
        <x:v>EV-TEST-001</x:v>
      </x:c>
      <x:c r="L7" s="11" t="str">
        <x:v>Use stable keys or scoped semantic locators for duplicated labels.</x:v>
      </x:c>
    </x:row>
    <x:row r="8">
      <x:c r="A8" s="11" t="str">
        <x:v>BUG-BLD-001</x:v>
      </x:c>
      <x:c r="B8" s="11" t="str">
        <x:v>Android Release</x:v>
      </x:c>
      <x:c r="C8" s="11" t="str">
        <x:v>Release configuration retains template identity and debug signing</x:v>
      </x:c>
      <x:c r="D8" s="11" t="str">
        <x:v>The Android applicationId is com.example.amora_ai and release points at the debug signing config.</x:v>
      </x:c>
      <x:c r="E8" s="11" t="str">
        <x:v>Inspect android/app/build.gradle.kts and the debug APK manifest.</x:v>
      </x:c>
      <x:c r="F8" s="11" t="str">
        <x:v>Production namespace/application ID and protected release signing.</x:v>
      </x:c>
      <x:c r="G8" s="11" t="str">
        <x:v>Template ID and debug key configuration.</x:v>
      </x:c>
      <x:c r="H8" s="11" t="str">
        <x:v>P1</x:v>
      </x:c>
      <x:c r="I8" s="11" t="str">
        <x:v>Critical</x:v>
      </x:c>
      <x:c r="J8" s="11" t="str">
        <x:v>Open</x:v>
      </x:c>
      <x:c r="K8" s="11" t="str">
        <x:v>EV-SOURCE-001; EV-BUILD-001</x:v>
      </x:c>
      <x:c r="L8" s="11" t="str">
        <x:v>Configure the approved application ID and secure release signing outside source control.</x:v>
      </x:c>
    </x:row>
    <x:row r="9">
      <x:c r="A9" s="11" t="str">
        <x:v>BUG-SEC-001</x:v>
      </x:c>
      <x:c r="B9" s="11" t="str">
        <x:v>Authentication</x:v>
      </x:c>
      <x:c r="C9" s="11" t="str">
        <x:v>Demo OTP is exposed in the UI</x:v>
      </x:c>
      <x:c r="D9" s="11" t="str">
        <x:v>phone_otp_screen.dart generates a code locally and displays it in a snackbar.</x:v>
      </x:c>
      <x:c r="E9" s="11" t="str">
        <x:v>Open phone login and request a code in the current frontend prototype.</x:v>
      </x:c>
      <x:c r="F9" s="11" t="str">
        <x:v>A production build never exposes the OTP to the same client.</x:v>
      </x:c>
      <x:c r="G9" s="11" t="str">
        <x:v>UI displays 'Demo OTP: &lt;code&gt;'.</x:v>
      </x:c>
      <x:c r="H9" s="11" t="str">
        <x:v>P1</x:v>
      </x:c>
      <x:c r="I9" s="11" t="str">
        <x:v>Critical</x:v>
      </x:c>
      <x:c r="J9" s="11" t="str">
        <x:v>Open</x:v>
      </x:c>
      <x:c r="K9" s="11" t="str">
        <x:v>EV-SOURCE-001</x:v>
      </x:c>
      <x:c r="L9" s="11" t="str">
        <x:v>Strictly isolate demo OTP behavior behind a non-production compile flag and integrate server verification.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3" hidden="0" customWidth="1"/>
    <x:col min="4" max="4" width="13" hidden="0" customWidth="1"/>
    <x:col min="5" max="5" width="13" hidden="0" customWidth="1"/>
    <x:col min="6" max="6" width="22" hidden="0" customWidth="1"/>
    <x:col min="7" max="7" width="42" hidden="0" customWidth="1"/>
    <x:col min="8" max="8" width="16" hidden="0" customWidth="1"/>
    <x:col min="9" max="9" width="12" hidden="0" customWidth="1"/>
  </x:cols>
  <x:sheetData>
    <x:row r="1" ht="30" customHeight="1">
      <x:c r="A1" s="6" t="str">
        <x:v>Risk ID</x:v>
      </x:c>
      <x:c r="B1" s="6" t="str">
        <x:v>Risk</x:v>
      </x:c>
      <x:c r="C1" s="6" t="str">
        <x:v>Probability</x:v>
      </x:c>
      <x:c r="D1" s="6" t="str">
        <x:v>Impact</x:v>
      </x:c>
      <x:c r="E1" s="6" t="str">
        <x:v>Risk Level</x:v>
      </x:c>
      <x:c r="F1" s="6" t="str">
        <x:v>Affected Module</x:v>
      </x:c>
      <x:c r="G1" s="6" t="str">
        <x:v>Mitigation</x:v>
      </x:c>
      <x:c r="H1" s="6" t="str">
        <x:v>Owner</x:v>
      </x:c>
      <x:c r="I1" s="6" t="str">
        <x:v>Status</x:v>
      </x:c>
    </x:row>
    <x:row r="2">
      <x:c r="A2" s="10" t="str">
        <x:v>RISK-001</x:v>
      </x:c>
      <x:c r="B2" s="10" t="str">
        <x:v>No production backend/network SDK is declared</x:v>
      </x:c>
      <x:c r="C2" s="10" t="str">
        <x:v>High</x:v>
      </x:c>
      <x:c r="D2" s="10" t="str">
        <x:v>Critical</x:v>
      </x:c>
      <x:c r="E2" s="10" t="str">
        <x:v>Critical</x:v>
      </x:c>
      <x:c r="F2" s="10" t="str">
        <x:v>Cross-functional</x:v>
      </x:c>
      <x:c r="G2" s="10" t="str">
        <x:v>Integrate authenticated APIs and contract tests.</x:v>
      </x:c>
      <x:c r="H2" s="10" t="str">
        <x:v>Engineering</x:v>
      </x:c>
      <x:c r="I2" s="10" t="str">
        <x:v>Open</x:v>
      </x:c>
    </x:row>
    <x:row r="3">
      <x:c r="A3" s="11" t="str">
        <x:v>RISK-002</x:v>
      </x:c>
      <x:c r="B3" s="11" t="str">
        <x:v>Authentication/session state is memory-only</x:v>
      </x:c>
      <x:c r="C3" s="11" t="str">
        <x:v>High</x:v>
      </x:c>
      <x:c r="D3" s="11" t="str">
        <x:v>Critical</x:v>
      </x:c>
      <x:c r="E3" s="11" t="str">
        <x:v>Critical</x:v>
      </x:c>
      <x:c r="F3" s="11" t="str">
        <x:v>Authentication</x:v>
      </x:c>
      <x:c r="G3" s="11" t="str">
        <x:v>Use secure persisted tokens and server authorization.</x:v>
      </x:c>
      <x:c r="H3" s="11" t="str">
        <x:v>Security</x:v>
      </x:c>
      <x:c r="I3" s="11" t="str">
        <x:v>Open</x:v>
      </x:c>
    </x:row>
    <x:row r="4">
      <x:c r="A4" s="11" t="str">
        <x:v>RISK-003</x:v>
      </x:c>
      <x:c r="B4" s="11" t="str">
        <x:v>Profiles, chats, matches and events use local/dummy data</x:v>
      </x:c>
      <x:c r="C4" s="11" t="str">
        <x:v>High</x:v>
      </x:c>
      <x:c r="D4" s="11" t="str">
        <x:v>High</x:v>
      </x:c>
      <x:c r="E4" s="11" t="str">
        <x:v>High</x:v>
      </x:c>
      <x:c r="F4" s="11" t="str">
        <x:v>Core product</x:v>
      </x:c>
      <x:c r="G4" s="11" t="str">
        <x:v>Replace fixtures with environment-backed repositories.</x:v>
      </x:c>
      <x:c r="H4" s="11" t="str">
        <x:v>Engineering</x:v>
      </x:c>
      <x:c r="I4" s="11" t="str">
        <x:v>Open</x:v>
      </x:c>
    </x:row>
    <x:row r="5">
      <x:c r="A5" s="11" t="str">
        <x:v>RISK-004</x:v>
      </x:c>
      <x:c r="B5" s="11" t="str">
        <x:v>Static event dates may become stale</x:v>
      </x:c>
      <x:c r="C5" s="11" t="str">
        <x:v>High</x:v>
      </x:c>
      <x:c r="D5" s="11" t="str">
        <x:v>Medium</x:v>
      </x:c>
      <x:c r="E5" s="11" t="str">
        <x:v>High</x:v>
      </x:c>
      <x:c r="F5" s="11" t="str">
        <x:v>Events</x:v>
      </x:c>
      <x:c r="G5" s="11" t="str">
        <x:v>Use server timestamps and time-zone-aware filtering.</x:v>
      </x:c>
      <x:c r="H5" s="11" t="str">
        <x:v>Product</x:v>
      </x:c>
      <x:c r="I5" s="11" t="str">
        <x:v>Open</x:v>
      </x:c>
    </x:row>
    <x:row r="6">
      <x:c r="A6" s="11" t="str">
        <x:v>RISK-005</x:v>
      </x:c>
      <x:c r="B6" s="11" t="str">
        <x:v>Payment simulation is disabled and no payment SDK is declared</x:v>
      </x:c>
      <x:c r="C6" s="11" t="str">
        <x:v>High</x:v>
      </x:c>
      <x:c r="D6" s="11" t="str">
        <x:v>Critical</x:v>
      </x:c>
      <x:c r="E6" s="11" t="str">
        <x:v>Critical</x:v>
      </x:c>
      <x:c r="F6" s="11" t="str">
        <x:v>Payments</x:v>
      </x:c>
      <x:c r="G6" s="11" t="str">
        <x:v>Integrate a sandbox gateway and entitlement service.</x:v>
      </x:c>
      <x:c r="H6" s="11" t="str">
        <x:v>Payments</x:v>
      </x:c>
      <x:c r="I6" s="11" t="str">
        <x:v>Open</x:v>
      </x:c>
    </x:row>
    <x:row r="7">
      <x:c r="A7" s="11" t="str">
        <x:v>RISK-006</x:v>
      </x:c>
      <x:c r="B7" s="11" t="str">
        <x:v>Push/deep-link delivery is not integrated</x:v>
      </x:c>
      <x:c r="C7" s="11" t="str">
        <x:v>High</x:v>
      </x:c>
      <x:c r="D7" s="11" t="str">
        <x:v>High</x:v>
      </x:c>
      <x:c r="E7" s="11" t="str">
        <x:v>High</x:v>
      </x:c>
      <x:c r="F7" s="11" t="str">
        <x:v>Notifications</x:v>
      </x:c>
      <x:c r="G7" s="11" t="str">
        <x:v>Add provider configuration and device tests.</x:v>
      </x:c>
      <x:c r="H7" s="11" t="str">
        <x:v>Engineering</x:v>
      </x:c>
      <x:c r="I7" s="11" t="str">
        <x:v>Open</x:v>
      </x:c>
    </x:row>
    <x:row r="8">
      <x:c r="A8" s="11" t="str">
        <x:v>RISK-007</x:v>
      </x:c>
      <x:c r="B8" s="11" t="str">
        <x:v>No integration_test suite exists</x:v>
      </x:c>
      <x:c r="C8" s="11" t="str">
        <x:v>High</x:v>
      </x:c>
      <x:c r="D8" s="11" t="str">
        <x:v>High</x:v>
      </x:c>
      <x:c r="E8" s="11" t="str">
        <x:v>High</x:v>
      </x:c>
      <x:c r="F8" s="11" t="str">
        <x:v>Automation</x:v>
      </x:c>
      <x:c r="G8" s="11" t="str">
        <x:v>Add device-level golden-path journeys.</x:v>
      </x:c>
      <x:c r="H8" s="11" t="str">
        <x:v>QA</x:v>
      </x:c>
      <x:c r="I8" s="11" t="str">
        <x:v>Open</x:v>
      </x:c>
    </x:row>
    <x:row r="9">
      <x:c r="A9" s="11" t="str">
        <x:v>RISK-008</x:v>
      </x:c>
      <x:c r="B9" s="11" t="str">
        <x:v>No coverage report/baseline is configured</x:v>
      </x:c>
      <x:c r="C9" s="11" t="str">
        <x:v>Medium</x:v>
      </x:c>
      <x:c r="D9" s="11" t="str">
        <x:v>Medium</x:v>
      </x:c>
      <x:c r="E9" s="11" t="str">
        <x:v>Medium</x:v>
      </x:c>
      <x:c r="F9" s="11" t="str">
        <x:v>Automation</x:v>
      </x:c>
      <x:c r="G9" s="11" t="str">
        <x:v>Publish line/branch coverage with thresholds.</x:v>
      </x:c>
      <x:c r="H9" s="11" t="str">
        <x:v>QA</x:v>
      </x:c>
      <x:c r="I9" s="11" t="str">
        <x:v>Open</x:v>
      </x:c>
    </x:row>
    <x:row r="10">
      <x:c r="A10" s="11" t="str">
        <x:v>RISK-009</x:v>
      </x:c>
      <x:c r="B10" s="11" t="str">
        <x:v>No Android physical device was available</x:v>
      </x:c>
      <x:c r="C10" s="11" t="str">
        <x:v>Medium</x:v>
      </x:c>
      <x:c r="D10" s="11" t="str">
        <x:v>High</x:v>
      </x:c>
      <x:c r="E10" s="11" t="str">
        <x:v>High</x:v>
      </x:c>
      <x:c r="F10" s="11" t="str">
        <x:v>Compatibility</x:v>
      </x:c>
      <x:c r="G10" s="11" t="str">
        <x:v>Run a signed test build on representative devices.</x:v>
      </x:c>
      <x:c r="H10" s="11" t="str">
        <x:v>QA</x:v>
      </x:c>
      <x:c r="I10" s="11" t="str">
        <x:v>Open</x:v>
      </x:c>
    </x:row>
    <x:row r="11">
      <x:c r="A11" s="11" t="str">
        <x:v>RISK-010</x:v>
      </x:c>
      <x:c r="B11" s="11" t="str">
        <x:v>Debug APK is 164.3 MiB</x:v>
      </x:c>
      <x:c r="C11" s="11" t="str">
        <x:v>High</x:v>
      </x:c>
      <x:c r="D11" s="11" t="str">
        <x:v>Medium</x:v>
      </x:c>
      <x:c r="E11" s="11" t="str">
        <x:v>High</x:v>
      </x:c>
      <x:c r="F11" s="11" t="str">
        <x:v>Performance</x:v>
      </x:c>
      <x:c r="G11" s="11" t="str">
        <x:v>Measure split APK/app bundle and optimize image assets.</x:v>
      </x:c>
      <x:c r="H11" s="11" t="str">
        <x:v>Engineering</x:v>
      </x:c>
      <x:c r="I11" s="11" t="str">
        <x:v>Open</x:v>
      </x:c>
    </x:row>
    <x:row r="12">
      <x:c r="A12" s="11" t="str">
        <x:v>RISK-011</x:v>
      </x:c>
      <x:c r="B12" s="11" t="str">
        <x:v>Release identity/signing is not production ready</x:v>
      </x:c>
      <x:c r="C12" s="11" t="str">
        <x:v>High</x:v>
      </x:c>
      <x:c r="D12" s="11" t="str">
        <x:v>Critical</x:v>
      </x:c>
      <x:c r="E12" s="11" t="str">
        <x:v>Critical</x:v>
      </x:c>
      <x:c r="F12" s="11" t="str">
        <x:v>Android Release</x:v>
      </x:c>
      <x:c r="G12" s="11" t="str">
        <x:v>Resolve BUG-BLD-001 before any store delivery.</x:v>
      </x:c>
      <x:c r="H12" s="11" t="str">
        <x:v>Release</x:v>
      </x:c>
      <x:c r="I12" s="11" t="str">
        <x:v>Open</x:v>
      </x:c>
    </x:row>
    <x:row r="13">
      <x:c r="A13" s="11" t="str">
        <x:v>RISK-012</x:v>
      </x:c>
      <x:c r="B13" s="11" t="str">
        <x:v>Email launch depends on an external client</x:v>
      </x:c>
      <x:c r="C13" s="11" t="str">
        <x:v>Medium</x:v>
      </x:c>
      <x:c r="D13" s="11" t="str">
        <x:v>Medium</x:v>
      </x:c>
      <x:c r="E13" s="11" t="str">
        <x:v>Medium</x:v>
      </x:c>
      <x:c r="F13" s="11" t="str">
        <x:v>Support</x:v>
      </x:c>
      <x:c r="G13" s="11" t="str">
        <x:v>Add graceful fallback and test on Android/iOS.</x:v>
      </x:c>
      <x:c r="H13" s="11" t="str">
        <x:v>Product</x:v>
      </x:c>
      <x:c r="I13" s="11" t="str">
        <x:v>Open</x:v>
      </x:c>
    </x:row>
    <x:row r="14">
      <x:c r="A14" s="11" t="str">
        <x:v>RISK-013</x:v>
      </x:c>
      <x:c r="B14" s="11" t="str">
        <x:v>Accessibility is assertion-led, not assistive-tech verified</x:v>
      </x:c>
      <x:c r="C14" s="11" t="str">
        <x:v>High</x:v>
      </x:c>
      <x:c r="D14" s="11" t="str">
        <x:v>High</x:v>
      </x:c>
      <x:c r="E14" s="11" t="str">
        <x:v>High</x:v>
      </x:c>
      <x:c r="F14" s="11" t="str">
        <x:v>Accessibility</x:v>
      </x:c>
      <x:c r="G14" s="11" t="str">
        <x:v>Run TalkBack, VoiceOver/NVDA and 200% scaling sessions.</x:v>
      </x:c>
      <x:c r="H14" s="11" t="str">
        <x:v>QA</x:v>
      </x:c>
      <x:c r="I14" s="11" t="str">
        <x:v>Open</x:v>
      </x:c>
    </x:row>
    <x:row r="15">
      <x:c r="A15" s="11" t="str">
        <x:v>RISK-014</x:v>
      </x:c>
      <x:c r="B15" s="11" t="str">
        <x:v>Windows desktop toolchain is incomplete</x:v>
      </x:c>
      <x:c r="C15" s="11" t="str">
        <x:v>Low</x:v>
      </x:c>
      <x:c r="D15" s="11" t="str">
        <x:v>Low</x:v>
      </x:c>
      <x:c r="E15" s="11" t="str">
        <x:v>Low</x:v>
      </x:c>
      <x:c r="F15" s="11" t="str">
        <x:v>Compatibility</x:v>
      </x:c>
      <x:c r="G15" s="11" t="str">
        <x:v>Install C++ workload only if Windows becomes a target.</x:v>
      </x:c>
      <x:c r="H15" s="11" t="str">
        <x:v>Engineering</x:v>
      </x:c>
      <x:c r="I15" s="11" t="str">
        <x:v>Accepted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0" customHeight="1">
      <x:c r="A1" s="6" t="str">
        <x:v>Module</x:v>
      </x:c>
      <x:c r="B1" s="6" t="str">
        <x:v>Total</x:v>
      </x:c>
      <x:c r="C1" s="6" t="str">
        <x:v>Pass</x:v>
      </x:c>
      <x:c r="D1" s="6" t="str">
        <x:v>Fail</x:v>
      </x:c>
      <x:c r="E1" s="6" t="str">
        <x:v>Blocked</x:v>
      </x:c>
      <x:c r="F1" s="6" t="str">
        <x:v>Not Run</x:v>
      </x:c>
      <x:c r="G1" s="6" t="str">
        <x:v>N/A</x:v>
      </x:c>
    </x:row>
    <x:row r="2">
      <x:c r="A2" s="53" t="str">
        <x:v>AI Matches</x:v>
      </x:c>
      <x:c r="B2" s="53" t="n">
        <x:f>COUNTIF('Test Cases'!$B$2:$B$181,A2)</x:f>
        <x:v>6</x:v>
      </x:c>
      <x:c r="C2" s="53" t="n">
        <x:f>COUNTIFS('Test Cases'!$B$2:$B$181,A2,'Test Cases'!$J$2:$J$181,"Pass")</x:f>
        <x:v>6</x:v>
      </x:c>
      <x:c r="D2" s="53" t="n">
        <x:f>COUNTIFS('Test Cases'!$B$2:$B$181,A2,'Test Cases'!$J$2:$J$181,"Fail")</x:f>
        <x:v>0</x:v>
      </x:c>
      <x:c r="E2" s="53" t="n">
        <x:f>COUNTIFS('Test Cases'!$B$2:$B$181,A2,'Test Cases'!$J$2:$J$181,"Blocked")</x:f>
        <x:v>0</x:v>
      </x:c>
      <x:c r="F2" s="53" t="n">
        <x:f>COUNTIFS('Test Cases'!$B$2:$B$181,A2,'Test Cases'!$J$2:$J$181,"Not Run")</x:f>
        <x:v>0</x:v>
      </x:c>
      <x:c r="G2" s="53" t="n">
        <x:f>COUNTIFS('Test Cases'!$B$2:$B$181,A2,'Test Cases'!$J$2:$J$181,"Not Applicable")</x:f>
        <x:v>0</x:v>
      </x:c>
    </x:row>
    <x:row r="3">
      <x:c r="A3" s="54" t="str">
        <x:v>Authentication</x:v>
      </x:c>
      <x:c r="B3" s="54" t="n">
        <x:f>COUNTIF('Test Cases'!$B$2:$B$181,A3)</x:f>
        <x:v>11</x:v>
      </x:c>
      <x:c r="C3" s="54" t="n">
        <x:f>COUNTIFS('Test Cases'!$B$2:$B$181,A3,'Test Cases'!$J$2:$J$181,"Pass")</x:f>
        <x:v>8</x:v>
      </x:c>
      <x:c r="D3" s="54" t="n">
        <x:f>COUNTIFS('Test Cases'!$B$2:$B$181,A3,'Test Cases'!$J$2:$J$181,"Fail")</x:f>
        <x:v>0</x:v>
      </x:c>
      <x:c r="E3" s="54" t="n">
        <x:f>COUNTIFS('Test Cases'!$B$2:$B$181,A3,'Test Cases'!$J$2:$J$181,"Blocked")</x:f>
        <x:v>3</x:v>
      </x:c>
      <x:c r="F3" s="54" t="n">
        <x:f>COUNTIFS('Test Cases'!$B$2:$B$181,A3,'Test Cases'!$J$2:$J$181,"Not Run")</x:f>
        <x:v>0</x:v>
      </x:c>
      <x:c r="G3" s="54" t="n">
        <x:f>COUNTIFS('Test Cases'!$B$2:$B$181,A3,'Test Cases'!$J$2:$J$181,"Not Applicable")</x:f>
        <x:v>0</x:v>
      </x:c>
    </x:row>
    <x:row r="4">
      <x:c r="A4" s="54" t="str">
        <x:v>Build &amp; Compatibility</x:v>
      </x:c>
      <x:c r="B4" s="54" t="n">
        <x:f>COUNTIF('Test Cases'!$B$2:$B$181,A4)</x:f>
        <x:v>14</x:v>
      </x:c>
      <x:c r="C4" s="54" t="n">
        <x:f>COUNTIFS('Test Cases'!$B$2:$B$181,A4,'Test Cases'!$J$2:$J$181,"Pass")</x:f>
        <x:v>6</x:v>
      </x:c>
      <x:c r="D4" s="54" t="n">
        <x:f>COUNTIFS('Test Cases'!$B$2:$B$181,A4,'Test Cases'!$J$2:$J$181,"Fail")</x:f>
        <x:v>1</x:v>
      </x:c>
      <x:c r="E4" s="54" t="n">
        <x:f>COUNTIFS('Test Cases'!$B$2:$B$181,A4,'Test Cases'!$J$2:$J$181,"Blocked")</x:f>
        <x:v>0</x:v>
      </x:c>
      <x:c r="F4" s="54" t="n">
        <x:f>COUNTIFS('Test Cases'!$B$2:$B$181,A4,'Test Cases'!$J$2:$J$181,"Not Run")</x:f>
        <x:v>4</x:v>
      </x:c>
      <x:c r="G4" s="54" t="n">
        <x:f>COUNTIFS('Test Cases'!$B$2:$B$181,A4,'Test Cases'!$J$2:$J$181,"Not Applicable")</x:f>
        <x:v>3</x:v>
      </x:c>
    </x:row>
    <x:row r="5">
      <x:c r="A5" s="54" t="str">
        <x:v>Chats</x:v>
      </x:c>
      <x:c r="B5" s="54" t="n">
        <x:f>COUNTIF('Test Cases'!$B$2:$B$181,A5)</x:f>
        <x:v>11</x:v>
      </x:c>
      <x:c r="C5" s="54" t="n">
        <x:f>COUNTIFS('Test Cases'!$B$2:$B$181,A5,'Test Cases'!$J$2:$J$181,"Pass")</x:f>
        <x:v>9</x:v>
      </x:c>
      <x:c r="D5" s="54" t="n">
        <x:f>COUNTIFS('Test Cases'!$B$2:$B$181,A5,'Test Cases'!$J$2:$J$181,"Fail")</x:f>
        <x:v>0</x:v>
      </x:c>
      <x:c r="E5" s="54" t="n">
        <x:f>COUNTIFS('Test Cases'!$B$2:$B$181,A5,'Test Cases'!$J$2:$J$181,"Blocked")</x:f>
        <x:v>2</x:v>
      </x:c>
      <x:c r="F5" s="54" t="n">
        <x:f>COUNTIFS('Test Cases'!$B$2:$B$181,A5,'Test Cases'!$J$2:$J$181,"Not Run")</x:f>
        <x:v>0</x:v>
      </x:c>
      <x:c r="G5" s="54" t="n">
        <x:f>COUNTIFS('Test Cases'!$B$2:$B$181,A5,'Test Cases'!$J$2:$J$181,"Not Applicable")</x:f>
        <x:v>0</x:v>
      </x:c>
    </x:row>
    <x:row r="6">
      <x:c r="A6" s="54" t="str">
        <x:v>Cross-functional</x:v>
      </x:c>
      <x:c r="B6" s="54" t="n">
        <x:f>COUNTIF('Test Cases'!$B$2:$B$181,A6)</x:f>
        <x:v>9</x:v>
      </x:c>
      <x:c r="C6" s="54" t="n">
        <x:f>COUNTIFS('Test Cases'!$B$2:$B$181,A6,'Test Cases'!$J$2:$J$181,"Pass")</x:f>
        <x:v>3</x:v>
      </x:c>
      <x:c r="D6" s="54" t="n">
        <x:f>COUNTIFS('Test Cases'!$B$2:$B$181,A6,'Test Cases'!$J$2:$J$181,"Fail")</x:f>
        <x:v>5</x:v>
      </x:c>
      <x:c r="E6" s="54" t="n">
        <x:f>COUNTIFS('Test Cases'!$B$2:$B$181,A6,'Test Cases'!$J$2:$J$181,"Blocked")</x:f>
        <x:v>0</x:v>
      </x:c>
      <x:c r="F6" s="54" t="n">
        <x:f>COUNTIFS('Test Cases'!$B$2:$B$181,A6,'Test Cases'!$J$2:$J$181,"Not Run")</x:f>
        <x:v>1</x:v>
      </x:c>
      <x:c r="G6" s="54" t="n">
        <x:f>COUNTIFS('Test Cases'!$B$2:$B$181,A6,'Test Cases'!$J$2:$J$181,"Not Applicable")</x:f>
        <x:v>0</x:v>
      </x:c>
    </x:row>
    <x:row r="7">
      <x:c r="A7" s="54" t="str">
        <x:v>Design System</x:v>
      </x:c>
      <x:c r="B7" s="54" t="n">
        <x:f>COUNTIF('Test Cases'!$B$2:$B$181,A7)</x:f>
        <x:v>16</x:v>
      </x:c>
      <x:c r="C7" s="54" t="n">
        <x:f>COUNTIFS('Test Cases'!$B$2:$B$181,A7,'Test Cases'!$J$2:$J$181,"Pass")</x:f>
        <x:v>8</x:v>
      </x:c>
      <x:c r="D7" s="54" t="n">
        <x:f>COUNTIFS('Test Cases'!$B$2:$B$181,A7,'Test Cases'!$J$2:$J$181,"Fail")</x:f>
        <x:v>2</x:v>
      </x:c>
      <x:c r="E7" s="54" t="n">
        <x:f>COUNTIFS('Test Cases'!$B$2:$B$181,A7,'Test Cases'!$J$2:$J$181,"Blocked")</x:f>
        <x:v>0</x:v>
      </x:c>
      <x:c r="F7" s="54" t="n">
        <x:f>COUNTIFS('Test Cases'!$B$2:$B$181,A7,'Test Cases'!$J$2:$J$181,"Not Run")</x:f>
        <x:v>6</x:v>
      </x:c>
      <x:c r="G7" s="54" t="n">
        <x:f>COUNTIFS('Test Cases'!$B$2:$B$181,A7,'Test Cases'!$J$2:$J$181,"Not Applicable")</x:f>
        <x:v>0</x:v>
      </x:c>
    </x:row>
    <x:row r="8">
      <x:c r="A8" s="54" t="str">
        <x:v>Discover</x:v>
      </x:c>
      <x:c r="B8" s="54" t="n">
        <x:f>COUNTIF('Test Cases'!$B$2:$B$181,A8)</x:f>
        <x:v>39</x:v>
      </x:c>
      <x:c r="C8" s="54" t="n">
        <x:f>COUNTIFS('Test Cases'!$B$2:$B$181,A8,'Test Cases'!$J$2:$J$181,"Pass")</x:f>
        <x:v>24</x:v>
      </x:c>
      <x:c r="D8" s="54" t="n">
        <x:f>COUNTIFS('Test Cases'!$B$2:$B$181,A8,'Test Cases'!$J$2:$J$181,"Fail")</x:f>
        <x:v>15</x:v>
      </x:c>
      <x:c r="E8" s="54" t="n">
        <x:f>COUNTIFS('Test Cases'!$B$2:$B$181,A8,'Test Cases'!$J$2:$J$181,"Blocked")</x:f>
        <x:v>0</x:v>
      </x:c>
      <x:c r="F8" s="54" t="n">
        <x:f>COUNTIFS('Test Cases'!$B$2:$B$181,A8,'Test Cases'!$J$2:$J$181,"Not Run")</x:f>
        <x:v>0</x:v>
      </x:c>
      <x:c r="G8" s="54" t="n">
        <x:f>COUNTIFS('Test Cases'!$B$2:$B$181,A8,'Test Cases'!$J$2:$J$181,"Not Applicable")</x:f>
        <x:v>0</x:v>
      </x:c>
    </x:row>
    <x:row r="9">
      <x:c r="A9" s="54" t="str">
        <x:v>Events</x:v>
      </x:c>
      <x:c r="B9" s="54" t="n">
        <x:f>COUNTIF('Test Cases'!$B$2:$B$181,A9)</x:f>
        <x:v>13</x:v>
      </x:c>
      <x:c r="C9" s="54" t="n">
        <x:f>COUNTIFS('Test Cases'!$B$2:$B$181,A9,'Test Cases'!$J$2:$J$181,"Pass")</x:f>
        <x:v>11</x:v>
      </x:c>
      <x:c r="D9" s="54" t="n">
        <x:f>COUNTIFS('Test Cases'!$B$2:$B$181,A9,'Test Cases'!$J$2:$J$181,"Fail")</x:f>
        <x:v>1</x:v>
      </x:c>
      <x:c r="E9" s="54" t="n">
        <x:f>COUNTIFS('Test Cases'!$B$2:$B$181,A9,'Test Cases'!$J$2:$J$181,"Blocked")</x:f>
        <x:v>1</x:v>
      </x:c>
      <x:c r="F9" s="54" t="n">
        <x:f>COUNTIFS('Test Cases'!$B$2:$B$181,A9,'Test Cases'!$J$2:$J$181,"Not Run")</x:f>
        <x:v>0</x:v>
      </x:c>
      <x:c r="G9" s="54" t="n">
        <x:f>COUNTIFS('Test Cases'!$B$2:$B$181,A9,'Test Cases'!$J$2:$J$181,"Not Applicable")</x:f>
        <x:v>0</x:v>
      </x:c>
    </x:row>
    <x:row r="10">
      <x:c r="A10" s="54" t="str">
        <x:v>FAQ &amp; Support</x:v>
      </x:c>
      <x:c r="B10" s="54" t="n">
        <x:f>COUNTIF('Test Cases'!$B$2:$B$181,A10)</x:f>
        <x:v>6</x:v>
      </x:c>
      <x:c r="C10" s="54" t="n">
        <x:f>COUNTIFS('Test Cases'!$B$2:$B$181,A10,'Test Cases'!$J$2:$J$181,"Pass")</x:f>
        <x:v>5</x:v>
      </x:c>
      <x:c r="D10" s="54" t="n">
        <x:f>COUNTIFS('Test Cases'!$B$2:$B$181,A10,'Test Cases'!$J$2:$J$181,"Fail")</x:f>
        <x:v>0</x:v>
      </x:c>
      <x:c r="E10" s="54" t="n">
        <x:f>COUNTIFS('Test Cases'!$B$2:$B$181,A10,'Test Cases'!$J$2:$J$181,"Blocked")</x:f>
        <x:v>1</x:v>
      </x:c>
      <x:c r="F10" s="54" t="n">
        <x:f>COUNTIFS('Test Cases'!$B$2:$B$181,A10,'Test Cases'!$J$2:$J$181,"Not Run")</x:f>
        <x:v>0</x:v>
      </x:c>
      <x:c r="G10" s="54" t="n">
        <x:f>COUNTIFS('Test Cases'!$B$2:$B$181,A10,'Test Cases'!$J$2:$J$181,"Not Applicable")</x:f>
        <x:v>0</x:v>
      </x:c>
    </x:row>
    <x:row r="11">
      <x:c r="A11" s="54" t="str">
        <x:v>Filters</x:v>
      </x:c>
      <x:c r="B11" s="54" t="n">
        <x:f>COUNTIF('Test Cases'!$B$2:$B$181,A11)</x:f>
        <x:v>4</x:v>
      </x:c>
      <x:c r="C11" s="54" t="n">
        <x:f>COUNTIFS('Test Cases'!$B$2:$B$181,A11,'Test Cases'!$J$2:$J$181,"Pass")</x:f>
        <x:v>4</x:v>
      </x:c>
      <x:c r="D11" s="54" t="n">
        <x:f>COUNTIFS('Test Cases'!$B$2:$B$181,A11,'Test Cases'!$J$2:$J$181,"Fail")</x:f>
        <x:v>0</x:v>
      </x:c>
      <x:c r="E11" s="54" t="n">
        <x:f>COUNTIFS('Test Cases'!$B$2:$B$181,A11,'Test Cases'!$J$2:$J$181,"Blocked")</x:f>
        <x:v>0</x:v>
      </x:c>
      <x:c r="F11" s="54" t="n">
        <x:f>COUNTIFS('Test Cases'!$B$2:$B$181,A11,'Test Cases'!$J$2:$J$181,"Not Run")</x:f>
        <x:v>0</x:v>
      </x:c>
      <x:c r="G11" s="54" t="n">
        <x:f>COUNTIFS('Test Cases'!$B$2:$B$181,A11,'Test Cases'!$J$2:$J$181,"Not Applicable")</x:f>
        <x:v>0</x:v>
      </x:c>
    </x:row>
    <x:row r="12">
      <x:c r="A12" s="54" t="str">
        <x:v>Notifications</x:v>
      </x:c>
      <x:c r="B12" s="54" t="n">
        <x:f>COUNTIF('Test Cases'!$B$2:$B$181,A12)</x:f>
        <x:v>8</x:v>
      </x:c>
      <x:c r="C12" s="54" t="n">
        <x:f>COUNTIFS('Test Cases'!$B$2:$B$181,A12,'Test Cases'!$J$2:$J$181,"Pass")</x:f>
        <x:v>7</x:v>
      </x:c>
      <x:c r="D12" s="54" t="n">
        <x:f>COUNTIFS('Test Cases'!$B$2:$B$181,A12,'Test Cases'!$J$2:$J$181,"Fail")</x:f>
        <x:v>0</x:v>
      </x:c>
      <x:c r="E12" s="54" t="n">
        <x:f>COUNTIFS('Test Cases'!$B$2:$B$181,A12,'Test Cases'!$J$2:$J$181,"Blocked")</x:f>
        <x:v>1</x:v>
      </x:c>
      <x:c r="F12" s="54" t="n">
        <x:f>COUNTIFS('Test Cases'!$B$2:$B$181,A12,'Test Cases'!$J$2:$J$181,"Not Run")</x:f>
        <x:v>0</x:v>
      </x:c>
      <x:c r="G12" s="54" t="n">
        <x:f>COUNTIFS('Test Cases'!$B$2:$B$181,A12,'Test Cases'!$J$2:$J$181,"Not Applicable")</x:f>
        <x:v>0</x:v>
      </x:c>
    </x:row>
    <x:row r="13">
      <x:c r="A13" s="54" t="str">
        <x:v>Onboarding</x:v>
      </x:c>
      <x:c r="B13" s="54" t="n">
        <x:f>COUNTIF('Test Cases'!$B$2:$B$181,A13)</x:f>
        <x:v>10</x:v>
      </x:c>
      <x:c r="C13" s="54" t="n">
        <x:f>COUNTIFS('Test Cases'!$B$2:$B$181,A13,'Test Cases'!$J$2:$J$181,"Pass")</x:f>
        <x:v>10</x:v>
      </x:c>
      <x:c r="D13" s="54" t="n">
        <x:f>COUNTIFS('Test Cases'!$B$2:$B$181,A13,'Test Cases'!$J$2:$J$181,"Fail")</x:f>
        <x:v>0</x:v>
      </x:c>
      <x:c r="E13" s="54" t="n">
        <x:f>COUNTIFS('Test Cases'!$B$2:$B$181,A13,'Test Cases'!$J$2:$J$181,"Blocked")</x:f>
        <x:v>0</x:v>
      </x:c>
      <x:c r="F13" s="54" t="n">
        <x:f>COUNTIFS('Test Cases'!$B$2:$B$181,A13,'Test Cases'!$J$2:$J$181,"Not Run")</x:f>
        <x:v>0</x:v>
      </x:c>
      <x:c r="G13" s="54" t="n">
        <x:f>COUNTIFS('Test Cases'!$B$2:$B$181,A13,'Test Cases'!$J$2:$J$181,"Not Applicable")</x:f>
        <x:v>0</x:v>
      </x:c>
    </x:row>
    <x:row r="14">
      <x:c r="A14" s="54" t="str">
        <x:v>Profile Detail</x:v>
      </x:c>
      <x:c r="B14" s="54" t="n">
        <x:f>COUNTIF('Test Cases'!$B$2:$B$181,A14)</x:f>
        <x:v>8</x:v>
      </x:c>
      <x:c r="C14" s="54" t="n">
        <x:f>COUNTIFS('Test Cases'!$B$2:$B$181,A14,'Test Cases'!$J$2:$J$181,"Pass")</x:f>
        <x:v>8</x:v>
      </x:c>
      <x:c r="D14" s="54" t="n">
        <x:f>COUNTIFS('Test Cases'!$B$2:$B$181,A14,'Test Cases'!$J$2:$J$181,"Fail")</x:f>
        <x:v>0</x:v>
      </x:c>
      <x:c r="E14" s="54" t="n">
        <x:f>COUNTIFS('Test Cases'!$B$2:$B$181,A14,'Test Cases'!$J$2:$J$181,"Blocked")</x:f>
        <x:v>0</x:v>
      </x:c>
      <x:c r="F14" s="54" t="n">
        <x:f>COUNTIFS('Test Cases'!$B$2:$B$181,A14,'Test Cases'!$J$2:$J$181,"Not Run")</x:f>
        <x:v>0</x:v>
      </x:c>
      <x:c r="G14" s="54" t="n">
        <x:f>COUNTIFS('Test Cases'!$B$2:$B$181,A14,'Test Cases'!$J$2:$J$181,"Not Applicable")</x:f>
        <x:v>0</x:v>
      </x:c>
    </x:row>
    <x:row r="15">
      <x:c r="A15" s="54" t="str">
        <x:v>Regression</x:v>
      </x:c>
      <x:c r="B15" s="54" t="n">
        <x:f>COUNTIF('Test Cases'!$B$2:$B$181,A15)</x:f>
        <x:v>6</x:v>
      </x:c>
      <x:c r="C15" s="54" t="n">
        <x:f>COUNTIFS('Test Cases'!$B$2:$B$181,A15,'Test Cases'!$J$2:$J$181,"Pass")</x:f>
        <x:v>5</x:v>
      </x:c>
      <x:c r="D15" s="54" t="n">
        <x:f>COUNTIFS('Test Cases'!$B$2:$B$181,A15,'Test Cases'!$J$2:$J$181,"Fail")</x:f>
        <x:v>1</x:v>
      </x:c>
      <x:c r="E15" s="54" t="n">
        <x:f>COUNTIFS('Test Cases'!$B$2:$B$181,A15,'Test Cases'!$J$2:$J$181,"Blocked")</x:f>
        <x:v>0</x:v>
      </x:c>
      <x:c r="F15" s="54" t="n">
        <x:f>COUNTIFS('Test Cases'!$B$2:$B$181,A15,'Test Cases'!$J$2:$J$181,"Not Run")</x:f>
        <x:v>0</x:v>
      </x:c>
      <x:c r="G15" s="54" t="n">
        <x:f>COUNTIFS('Test Cases'!$B$2:$B$181,A15,'Test Cases'!$J$2:$J$181,"Not Applicable")</x:f>
        <x:v>0</x:v>
      </x:c>
    </x:row>
    <x:row r="16">
      <x:c r="A16" s="54" t="str">
        <x:v>Security Review</x:v>
      </x:c>
      <x:c r="B16" s="54" t="n">
        <x:f>COUNTIF('Test Cases'!$B$2:$B$181,A16)</x:f>
        <x:v>3</x:v>
      </x:c>
      <x:c r="C16" s="54" t="n">
        <x:f>COUNTIFS('Test Cases'!$B$2:$B$181,A16,'Test Cases'!$J$2:$J$181,"Pass")</x:f>
        <x:v>1</x:v>
      </x:c>
      <x:c r="D16" s="54" t="n">
        <x:f>COUNTIFS('Test Cases'!$B$2:$B$181,A16,'Test Cases'!$J$2:$J$181,"Fail")</x:f>
        <x:v>1</x:v>
      </x:c>
      <x:c r="E16" s="54" t="n">
        <x:f>COUNTIFS('Test Cases'!$B$2:$B$181,A16,'Test Cases'!$J$2:$J$181,"Blocked")</x:f>
        <x:v>1</x:v>
      </x:c>
      <x:c r="F16" s="54" t="n">
        <x:f>COUNTIFS('Test Cases'!$B$2:$B$181,A16,'Test Cases'!$J$2:$J$181,"Not Run")</x:f>
        <x:v>0</x:v>
      </x:c>
      <x:c r="G16" s="54" t="n">
        <x:f>COUNTIFS('Test Cases'!$B$2:$B$181,A16,'Test Cases'!$J$2:$J$181,"Not Applicable")</x:f>
        <x:v>0</x:v>
      </x:c>
    </x:row>
    <x:row r="17">
      <x:c r="A17" s="54" t="str">
        <x:v>Subscription &amp; Payment</x:v>
      </x:c>
      <x:c r="B17" s="54" t="n">
        <x:f>COUNTIF('Test Cases'!$B$2:$B$181,A17)</x:f>
        <x:v>6</x:v>
      </x:c>
      <x:c r="C17" s="54" t="n">
        <x:f>COUNTIFS('Test Cases'!$B$2:$B$181,A17,'Test Cases'!$J$2:$J$181,"Pass")</x:f>
        <x:v>0</x:v>
      </x:c>
      <x:c r="D17" s="54" t="n">
        <x:f>COUNTIFS('Test Cases'!$B$2:$B$181,A17,'Test Cases'!$J$2:$J$181,"Fail")</x:f>
        <x:v>0</x:v>
      </x:c>
      <x:c r="E17" s="54" t="n">
        <x:f>COUNTIFS('Test Cases'!$B$2:$B$181,A17,'Test Cases'!$J$2:$J$181,"Blocked")</x:f>
        <x:v>1</x:v>
      </x:c>
      <x:c r="F17" s="54" t="n">
        <x:f>COUNTIFS('Test Cases'!$B$2:$B$181,A17,'Test Cases'!$J$2:$J$181,"Not Run")</x:f>
        <x:v>5</x:v>
      </x:c>
      <x:c r="G17" s="54" t="n">
        <x:f>COUNTIFS('Test Cases'!$B$2:$B$181,A17,'Test Cases'!$J$2:$J$181,"Not Applicable")</x:f>
        <x:v>0</x:v>
      </x:c>
    </x:row>
    <x:row r="18">
      <x:c r="A18" s="54" t="str">
        <x:v>User Profile</x:v>
      </x:c>
      <x:c r="B18" s="54" t="n">
        <x:f>COUNTIF('Test Cases'!$B$2:$B$181,A18)</x:f>
        <x:v>3</x:v>
      </x:c>
      <x:c r="C18" s="54" t="n">
        <x:f>COUNTIFS('Test Cases'!$B$2:$B$181,A18,'Test Cases'!$J$2:$J$181,"Pass")</x:f>
        <x:v>3</x:v>
      </x:c>
      <x:c r="D18" s="54" t="n">
        <x:f>COUNTIFS('Test Cases'!$B$2:$B$181,A18,'Test Cases'!$J$2:$J$181,"Fail")</x:f>
        <x:v>0</x:v>
      </x:c>
      <x:c r="E18" s="54" t="n">
        <x:f>COUNTIFS('Test Cases'!$B$2:$B$181,A18,'Test Cases'!$J$2:$J$181,"Blocked")</x:f>
        <x:v>0</x:v>
      </x:c>
      <x:c r="F18" s="54" t="n">
        <x:f>COUNTIFS('Test Cases'!$B$2:$B$181,A18,'Test Cases'!$J$2:$J$181,"Not Run")</x:f>
        <x:v>0</x:v>
      </x:c>
      <x:c r="G18" s="54" t="n">
        <x:f>COUNTIFS('Test Cases'!$B$2:$B$181,A18,'Test Cases'!$J$2:$J$181,"Not Applicable")</x:f>
        <x:v>0</x:v>
      </x:c>
    </x:row>
    <x:row r="19">
      <x:c r="A19" s="54" t="str">
        <x:v>Visual Evidence</x:v>
      </x:c>
      <x:c r="B19" s="54" t="n">
        <x:f>COUNTIF('Test Cases'!$B$2:$B$181,A19)</x:f>
        <x:v>7</x:v>
      </x:c>
      <x:c r="C19" s="54" t="n">
        <x:f>COUNTIFS('Test Cases'!$B$2:$B$181,A19,'Test Cases'!$J$2:$J$181,"Pass")</x:f>
        <x:v>7</x:v>
      </x:c>
      <x:c r="D19" s="54" t="n">
        <x:f>COUNTIFS('Test Cases'!$B$2:$B$181,A19,'Test Cases'!$J$2:$J$181,"Fail")</x:f>
        <x:v>0</x:v>
      </x:c>
      <x:c r="E19" s="54" t="n">
        <x:f>COUNTIFS('Test Cases'!$B$2:$B$181,A19,'Test Cases'!$J$2:$J$181,"Blocked")</x:f>
        <x:v>0</x:v>
      </x:c>
      <x:c r="F19" s="54" t="n">
        <x:f>COUNTIFS('Test Cases'!$B$2:$B$181,A19,'Test Cases'!$J$2:$J$181,"Not Run")</x:f>
        <x:v>0</x:v>
      </x:c>
      <x:c r="G19" s="54" t="n">
        <x:f>COUNTIFS('Test Cases'!$B$2:$B$181,A19,'Test Cases'!$J$2:$J$181,"Not Applicable")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38" hidden="0" customWidth="1"/>
  </x:cols>
  <x:sheetData>
    <x:row r="1" ht="30" customHeight="1">
      <x:c r="A1" s="6" t="str">
        <x:v>Property</x:v>
      </x:c>
      <x:c r="B1" s="6" t="str">
        <x:v>Observed Value</x:v>
      </x:c>
      <x:c r="C1" s="6" t="str">
        <x:v>QA Interpretation</x:v>
      </x:c>
    </x:row>
    <x:row r="2">
      <x:c r="A2" s="10" t="str">
        <x:v>OS</x:v>
      </x:c>
      <x:c r="B2" s="10" t="str">
        <x:v>Windows 11 Home Single Language 64-bit, 25H2</x:v>
      </x:c>
      <x:c r="C2" s="10" t="str">
        <x:v>Executed host</x:v>
      </x:c>
    </x:row>
    <x:row r="3">
      <x:c r="A3" s="11" t="str">
        <x:v>Flutter</x:v>
      </x:c>
      <x:c r="B3" s="11" t="str">
        <x:v>3.44.6 stable</x:v>
      </x:c>
      <x:c r="C3" s="11" t="str">
        <x:v>Analyzer/tests/builds executed</x:v>
      </x:c>
    </x:row>
    <x:row r="4">
      <x:c r="A4" s="11" t="str">
        <x:v>Dart</x:v>
      </x:c>
      <x:c r="B4" s="11" t="str">
        <x:v>3.12.2</x:v>
      </x:c>
      <x:c r="C4" s="11" t="str">
        <x:v>Formatter/tests executed</x:v>
      </x:c>
    </x:row>
    <x:row r="5">
      <x:c r="A5" s="11" t="str">
        <x:v>Android SDK</x:v>
      </x:c>
      <x:c r="B5" s="11" t="str">
        <x:v>36.1.0; platform/build-tools 36.1.0</x:v>
      </x:c>
      <x:c r="C5" s="11" t="str">
        <x:v>Debug build target</x:v>
      </x:c>
    </x:row>
    <x:row r="6">
      <x:c r="A6" s="11" t="str">
        <x:v>APK SDK levels</x:v>
      </x:c>
      <x:c r="B6" s="11" t="str">
        <x:v>minSdk 24; targetSdk 36</x:v>
      </x:c>
      <x:c r="C6" s="11" t="str">
        <x:v>Read from built APK</x:v>
      </x:c>
    </x:row>
    <x:row r="7">
      <x:c r="A7" s="11" t="str">
        <x:v>Java</x:v>
      </x:c>
      <x:c r="B7" s="11" t="str">
        <x:v>OpenJDK 21.0.8 via Android Studio</x:v>
      </x:c>
      <x:c r="C7" s="11" t="str">
        <x:v>Gradle runtime</x:v>
      </x:c>
    </x:row>
    <x:row r="8">
      <x:c r="A8" s="11" t="str">
        <x:v>Chrome</x:v>
      </x:c>
      <x:c r="B8" s="11" t="str">
        <x:v>150.0.7871.182</x:v>
      </x:c>
      <x:c r="C8" s="11" t="str">
        <x:v>Debug launch target</x:v>
      </x:c>
    </x:row>
    <x:row r="9">
      <x:c r="A9" s="11" t="str">
        <x:v>Connected Android</x:v>
      </x:c>
      <x:c r="B9" s="11" t="str">
        <x:v>None</x:v>
      </x:c>
      <x:c r="C9" s="11" t="str">
        <x:v>Physical-device cases blocked</x:v>
      </x:c>
    </x:row>
    <x:row r="10">
      <x:c r="A10" s="11" t="str">
        <x:v>Windows desktop</x:v>
      </x:c>
      <x:c r="B10" s="11" t="str">
        <x:v>Toolchain incomplete</x:v>
      </x:c>
      <x:c r="C10" s="11" t="str">
        <x:v>Not a validated release target</x:v>
      </x:c>
    </x:row>
    <x:row r="11">
      <x:c r="A11" s="11" t="str">
        <x:v>Backend</x:v>
      </x:c>
      <x:c r="B11" s="11" t="str">
        <x:v>No production SDK/config declared</x:v>
      </x:c>
      <x:c r="C11" s="11" t="str">
        <x:v>Frontend prototype</x:v>
      </x:c>
    </x:row>
    <x:row r="12">
      <x:c r="A12" s="11" t="str">
        <x:v>Build mode</x:v>
      </x:c>
      <x:c r="B12" s="11" t="str">
        <x:v>Web release build; Android debug APK</x:v>
      </x:c>
      <x:c r="C12" s="11" t="str">
        <x:v>Both succeeded</x:v>
      </x:c>
    </x:row>
    <x:row r="13">
      <x:c r="A13" s="11" t="str">
        <x:v>Internet</x:v>
      </x:c>
      <x:c r="B13" s="11" t="str">
        <x:v>Flutter doctor network check passed</x:v>
      </x:c>
      <x:c r="C13" s="11" t="str">
        <x:v>Dependency resolution available</x:v>
      </x:c>
    </x:row>
    <x:row r="14">
      <x:c r="A14" s="11" t="str">
        <x:v>Test account</x:v>
      </x:c>
      <x:c r="B14" s="11" t="str">
        <x:v>Local fictional fixtures</x:v>
      </x:c>
      <x:c r="C14" s="11" t="str">
        <x:v>No production account</x:v>
      </x:c>
    </x:row>
    <x:row r="15">
      <x:c r="A15" s="11" t="str">
        <x:v>IDE</x:v>
      </x:c>
      <x:c r="B15" s="11" t="str">
        <x:v>Android Studio detected; Codex desktop QA workflow</x:v>
      </x:c>
      <x:c r="C15" s="11" t="str">
        <x:v>No IDE claim beyond detection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5" hidden="0" customWidth="1"/>
    <x:col min="4" max="4" width="62" hidden="0" customWidth="1"/>
  </x:cols>
  <x:sheetData>
    <x:row r="1" ht="30" customHeight="1">
      <x:c r="A1" s="6" t="str">
        <x:v>Command</x:v>
      </x:c>
      <x:c r="B1" s="6" t="str">
        <x:v>Result</x:v>
      </x:c>
      <x:c r="C1" s="6" t="str">
        <x:v>Duration</x:v>
      </x:c>
      <x:c r="D1" s="6" t="str">
        <x:v>Output / Warning</x:v>
      </x:c>
    </x:row>
    <x:row r="2">
      <x:c r="A2" s="10" t="str">
        <x:v>flutter clean</x:v>
      </x:c>
      <x:c r="B2" s="10" t="str">
        <x:v>Pass</x:v>
      </x:c>
      <x:c r="C2" s="10" t="str">
        <x:v>3.8 s</x:v>
      </x:c>
      <x:c r="D2" s="10" t="str">
        <x:v>Generated output removed</x:v>
      </x:c>
    </x:row>
    <x:row r="3">
      <x:c r="A3" s="11" t="str">
        <x:v>flutter pub get</x:v>
      </x:c>
      <x:c r="B3" s="11" t="str">
        <x:v>Pass</x:v>
      </x:c>
      <x:c r="C3" s="11" t="str">
        <x:v>4.5 s</x:v>
      </x:c>
      <x:c r="D3" s="11" t="str">
        <x:v>4 newer incompatible package versions noted</x:v>
      </x:c>
    </x:row>
    <x:row r="4">
      <x:c r="A4" s="11" t="str">
        <x:v>dart format lib</x:v>
      </x:c>
      <x:c r="B4" s="11" t="str">
        <x:v>Pass</x:v>
      </x:c>
      <x:c r="C4" s="11" t="str">
        <x:v>3.23 s</x:v>
      </x:c>
      <x:c r="D4" s="11" t="str">
        <x:v>137 files; 0 changed</x:v>
      </x:c>
    </x:row>
    <x:row r="5">
      <x:c r="A5" s="11" t="str">
        <x:v>flutter analyze</x:v>
      </x:c>
      <x:c r="B5" s="11" t="str">
        <x:v>Pass</x:v>
      </x:c>
      <x:c r="C5" s="11" t="str">
        <x:v>3.0 s</x:v>
      </x:c>
      <x:c r="D5" s="11" t="str">
        <x:v>No issues found</x:v>
      </x:c>
    </x:row>
    <x:row r="6">
      <x:c r="A6" s="11" t="str">
        <x:v>flutter test</x:v>
      </x:c>
      <x:c r="B6" s="11" t="str">
        <x:v>Fail</x:v>
      </x:c>
      <x:c r="C6" s="11" t="str">
        <x:v>Full run</x:v>
      </x:c>
      <x:c r="D6" s="11" t="str">
        <x:v>115 pass; 23 fail; 5 skipped</x:v>
      </x:c>
    </x:row>
    <x:row r="7">
      <x:c r="A7" s="11" t="str">
        <x:v>flutter build web</x:v>
      </x:c>
      <x:c r="B7" s="11" t="str">
        <x:v>Pass</x:v>
      </x:c>
      <x:c r="C7" s="11" t="str">
        <x:v>81.7 s</x:v>
      </x:c>
      <x:c r="D7" s="11" t="str">
        <x:v>build/web; 68,034,713 bytes</x:v>
      </x:c>
    </x:row>
    <x:row r="8">
      <x:c r="A8" s="11" t="str">
        <x:v>flutter run -d chrome</x:v>
      </x:c>
      <x:c r="B8" s="11" t="str">
        <x:v>Started</x:v>
      </x:c>
      <x:c r="C8" s="11" t="str">
        <x:v>50.3 s</x:v>
      </x:c>
      <x:c r="D8" s="11" t="str">
        <x:v>Debug service connected; manual control not completed</x:v>
      </x:c>
    </x:row>
    <x:row r="9">
      <x:c r="A9" s="11" t="str">
        <x:v>flutter build apk --debug</x:v>
      </x:c>
      <x:c r="B9" s="11" t="str">
        <x:v>Pass</x:v>
      </x:c>
      <x:c r="C9" s="11" t="str">
        <x:v>54.5 s</x:v>
      </x:c>
      <x:c r="D9" s="11" t="str">
        <x:v>app-debug.apk; 172,299,833 bytes</x:v>
      </x:c>
    </x:row>
    <x:row r="10">
      <x:c r="A10" s="11" t="str">
        <x:v>flutter build apk --release</x:v>
      </x:c>
      <x:c r="B10" s="11" t="str">
        <x:v>Not Attempted</x:v>
      </x:c>
      <x:c r="C10" s="11" t="str">
        <x:v>—</x:v>
      </x:c>
      <x:c r="D10" s="11" t="str">
        <x:v>Debug signing/template ID; unsafe to claim release readiness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4" hidden="0" customWidth="1"/>
  </x:cols>
  <x:sheetData>
    <x:row r="1" ht="30" customHeight="1">
      <x:c r="A1" s="6" t="str">
        <x:v>Field</x:v>
      </x:c>
      <x:c r="B1" s="6" t="str">
        <x:v>Safe Value</x:v>
      </x:c>
      <x:c r="C1" s="6" t="str">
        <x:v>Handling Rule</x:v>
      </x:c>
    </x:row>
    <x:row r="2">
      <x:c r="A2" s="57" t="str">
        <x:v>name</x:v>
      </x:c>
      <x:c r="B2" s="57" t="str">
        <x:v>Priya Test</x:v>
      </x:c>
      <x:c r="C2" s="57" t="str">
        <x:v>Fictional/local only.</x:v>
      </x:c>
    </x:row>
    <x:row r="3">
      <x:c r="A3" s="58" t="str">
        <x:v>age</x:v>
      </x:c>
      <x:c r="B3" s="58" t="str">
        <x:v>27</x:v>
      </x:c>
      <x:c r="C3" s="58" t="str">
        <x:v>Fictional/local only.</x:v>
      </x:c>
    </x:row>
    <x:row r="4">
      <x:c r="A4" s="58" t="str">
        <x:v>city</x:v>
      </x:c>
      <x:c r="B4" s="58" t="str">
        <x:v>Ahmedabad</x:v>
      </x:c>
      <x:c r="C4" s="58" t="str">
        <x:v>Fictional/local only.</x:v>
      </x:c>
    </x:row>
    <x:row r="5">
      <x:c r="A5" s="58" t="str">
        <x:v>occupation</x:v>
      </x:c>
      <x:c r="B5" s="58" t="str">
        <x:v>Product Designer</x:v>
      </x:c>
      <x:c r="C5" s="58" t="str">
        <x:v>Fictional/local only.</x:v>
      </x:c>
    </x:row>
    <x:row r="6">
      <x:c r="A6" s="58" t="str">
        <x:v>email</x:v>
      </x:c>
      <x:c r="B6" s="58" t="str">
        <x:v>qa.amora@example.com</x:v>
      </x:c>
      <x:c r="C6" s="58" t="str">
        <x:v>Fictional/local only.</x:v>
      </x:c>
    </x:row>
    <x:row r="7">
      <x:c r="A7" s="58" t="str">
        <x:v>phone</x:v>
      </x:c>
      <x:c r="B7" s="58" t="str">
        <x:v>Use only a provider-approved test number; none configured here.</x:v>
      </x:c>
      <x:c r="C7" s="58" t="str">
        <x:v>Fictional/local only.</x:v>
      </x:c>
    </x:row>
    <x:row r="8">
      <x:c r="A8" s="58" t="str">
        <x:v>password</x:v>
      </x:c>
      <x:c r="B8" s="58" t="str">
        <x:v>Never stored in this report.</x:v>
      </x:c>
      <x:c r="C8" s="58" t="str">
        <x:v>Never record real values.</x:v>
      </x:c>
    </x:row>
    <x:row r="9">
      <x:c r="A9" s="58" t="str">
        <x:v>otp</x:v>
      </x:c>
      <x:c r="B9" s="58" t="str">
        <x:v>Do not include real OTPs; demo codes omitted from evidence.</x:v>
      </x:c>
      <x:c r="C9" s="58" t="str">
        <x:v>Never record real values.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48" hidden="0" customWidth="1"/>
  </x:cols>
  <x:sheetData>
    <x:row r="1" ht="30" customHeight="1">
      <x:c r="A1" s="6" t="str">
        <x:v>Evidence ID</x:v>
      </x:c>
      <x:c r="B1" s="6" t="str">
        <x:v>Artifact</x:v>
      </x:c>
      <x:c r="C1" s="6" t="str">
        <x:v>Purpose</x:v>
      </x:c>
    </x:row>
    <x:row r="2">
      <x:c r="A2" s="61" t="str">
        <x:v>EV-UI-001</x:v>
      </x:c>
      <x:c r="B2" s="61" t="str">
        <x:v>EV-UI-001_auth_mobile.png</x:v>
      </x:c>
      <x:c r="C2" s="61" t="str">
        <x:v>Authentication mobile render</x:v>
      </x:c>
    </x:row>
    <x:row r="3">
      <x:c r="A3" s="62" t="str">
        <x:v>EV-UI-002</x:v>
      </x:c>
      <x:c r="B3" s="62" t="str">
        <x:v>EV-UI-002_discover_mobile.png</x:v>
      </x:c>
      <x:c r="C3" s="62" t="str">
        <x:v>Discover mobile render</x:v>
      </x:c>
    </x:row>
    <x:row r="4">
      <x:c r="A4" s="62" t="str">
        <x:v>EV-UI-003</x:v>
      </x:c>
      <x:c r="B4" s="62" t="str">
        <x:v>EV-UI-003_events_mobile.png</x:v>
      </x:c>
      <x:c r="C4" s="62" t="str">
        <x:v>Events mobile render</x:v>
      </x:c>
    </x:row>
    <x:row r="5">
      <x:c r="A5" s="62" t="str">
        <x:v>EV-UI-004</x:v>
      </x:c>
      <x:c r="B5" s="62" t="str">
        <x:v>EV-UI-004_event_detail_mobile.png</x:v>
      </x:c>
      <x:c r="C5" s="62" t="str">
        <x:v>Event detail mobile render</x:v>
      </x:c>
    </x:row>
    <x:row r="6">
      <x:c r="A6" s="62" t="str">
        <x:v>EV-UI-005</x:v>
      </x:c>
      <x:c r="B6" s="62" t="str">
        <x:v>EV-UI-005_profile_mobile.png</x:v>
      </x:c>
      <x:c r="C6" s="62" t="str">
        <x:v>Profile mobile render</x:v>
      </x:c>
    </x:row>
    <x:row r="7">
      <x:c r="A7" s="62" t="str">
        <x:v>EV-UI-006</x:v>
      </x:c>
      <x:c r="B7" s="62" t="str">
        <x:v>EV-UI-006_faq_support_mobile.png</x:v>
      </x:c>
      <x:c r="C7" s="62" t="str">
        <x:v>Email-only FAQ Support render</x:v>
      </x:c>
    </x:row>
    <x:row r="8">
      <x:c r="A8" s="62" t="str">
        <x:v>EV-UI-007</x:v>
      </x:c>
      <x:c r="B8" s="62" t="str">
        <x:v>EV-UI-007_events_desktop.png</x:v>
      </x:c>
      <x:c r="C8" s="62" t="str">
        <x:v>Events desktop render</x:v>
      </x:c>
    </x:row>
    <x:row r="9">
      <x:c r="A9" s="62" t="str">
        <x:v>EV-BUILD-001</x:v>
      </x:c>
      <x:c r="B9" s="62" t="str">
        <x:v>EV-BUILD-001_build_and_environment.txt</x:v>
      </x:c>
      <x:c r="C9" s="62" t="str">
        <x:v>Commands, environment and outputs</x:v>
      </x:c>
    </x:row>
    <x:row r="10">
      <x:c r="A10" s="62" t="str">
        <x:v>EV-TEST-001</x:v>
      </x:c>
      <x:c r="B10" s="62" t="str">
        <x:v>EV-TEST-001_test_run_summary.txt</x:v>
      </x:c>
      <x:c r="C10" s="62" t="str">
        <x:v>Automated results and failure families</x:v>
      </x:c>
    </x:row>
    <x:row r="11">
      <x:c r="A11" s="62" t="str">
        <x:v>EV-SOURCE-001</x:v>
      </x:c>
      <x:c r="B11" s="62" t="str">
        <x:v>EV-SOURCE-001_project_inventory.txt</x:v>
      </x:c>
      <x:c r="C11" s="62" t="str">
        <x:v>Architecture/dependency inventory</x:v>
      </x:c>
    </x:row>
    <x:row r="12">
      <x:c r="A12" s="62" t="str">
        <x:v>EV-LIMIT-001</x:v>
      </x:c>
      <x:c r="B12" s="62" t="str">
        <x:v>EV-LIMIT-001_test_limitations.txt</x:v>
      </x:c>
      <x:c r="C12" s="62" t="str">
        <x:v>Explicit non-claims and blockers</x:v>
      </x:c>
    </x:row>
  </x:sheetData>
  <x:pageMargins left="0.7" right="0.7" top="0.75" bottom="0.75" header="0.3" footer="0.3"/>
</x:worksheet>
</file>